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-120" yWindow="-120" windowWidth="29040" windowHeight="15990" tabRatio="121"/>
  </bookViews>
  <sheets>
    <sheet name="List1" sheetId="1" r:id="rId1"/>
  </sheets>
  <definedNames>
    <definedName name="_xlnm._FilterDatabase" localSheetId="0" hidden="1">List1!$A$1:$AC$262</definedName>
  </definedNames>
  <calcPr calcId="191029"/>
</workbook>
</file>

<file path=xl/calcChain.xml><?xml version="1.0" encoding="utf-8"?>
<calcChain xmlns="http://schemas.openxmlformats.org/spreadsheetml/2006/main">
  <c r="V19" i="1"/>
  <c r="W19"/>
  <c r="X19"/>
  <c r="Y19"/>
  <c r="Z19"/>
  <c r="AA19"/>
  <c r="V18"/>
  <c r="W18"/>
  <c r="X18"/>
  <c r="Z160"/>
  <c r="AA160"/>
  <c r="AB160"/>
  <c r="Y52"/>
  <c r="Y53"/>
  <c r="Y51"/>
  <c r="Z51"/>
  <c r="AA51"/>
  <c r="AB51"/>
  <c r="S250"/>
  <c r="T250"/>
  <c r="U250"/>
  <c r="V250"/>
  <c r="S244"/>
  <c r="T244"/>
  <c r="U244"/>
  <c r="V244"/>
  <c r="S245"/>
  <c r="T245"/>
  <c r="U245"/>
  <c r="V245"/>
  <c r="S246"/>
  <c r="T246"/>
  <c r="U246"/>
  <c r="V246"/>
  <c r="S247"/>
  <c r="T247"/>
  <c r="U247"/>
  <c r="V247"/>
  <c r="S248"/>
  <c r="T248"/>
  <c r="U248"/>
  <c r="V248"/>
  <c r="S249"/>
  <c r="T249"/>
  <c r="U249"/>
  <c r="V249"/>
  <c r="S243"/>
  <c r="Y253"/>
  <c r="Z253"/>
  <c r="AA253"/>
  <c r="AB253"/>
  <c r="W238"/>
  <c r="X238"/>
  <c r="Y238"/>
  <c r="Z238"/>
  <c r="AA238"/>
  <c r="AB238"/>
  <c r="W239"/>
  <c r="X239"/>
  <c r="Y239"/>
  <c r="Z239"/>
  <c r="AA239"/>
  <c r="AB239"/>
  <c r="W240"/>
  <c r="X240"/>
  <c r="Y240"/>
  <c r="Z240"/>
  <c r="AA240"/>
  <c r="AB240"/>
  <c r="W241"/>
  <c r="X241"/>
  <c r="Y241"/>
  <c r="Z241"/>
  <c r="AA241"/>
  <c r="AB241"/>
  <c r="W242"/>
  <c r="X242"/>
  <c r="Y242"/>
  <c r="Z242"/>
  <c r="AA242"/>
  <c r="AB242"/>
  <c r="W237"/>
  <c r="X237"/>
  <c r="Y237"/>
  <c r="Z237"/>
  <c r="AA237"/>
  <c r="AB237"/>
  <c r="W236"/>
  <c r="Y231"/>
  <c r="Z231"/>
  <c r="AA231"/>
  <c r="AB231"/>
  <c r="Y232"/>
  <c r="Z232"/>
  <c r="AA232"/>
  <c r="AB232"/>
  <c r="Y233"/>
  <c r="Z233"/>
  <c r="AA233"/>
  <c r="AB233"/>
  <c r="Y230"/>
  <c r="Z230"/>
  <c r="AA230"/>
  <c r="AB230"/>
  <c r="Y225"/>
  <c r="Z225"/>
  <c r="AA225"/>
  <c r="AB225"/>
  <c r="Y224"/>
  <c r="Z224"/>
  <c r="AA224"/>
  <c r="AB224"/>
  <c r="X213"/>
  <c r="Y213"/>
  <c r="Z213"/>
  <c r="AA213"/>
  <c r="AB213"/>
  <c r="Y214"/>
  <c r="Z214"/>
  <c r="AA214"/>
  <c r="AB214"/>
  <c r="X205"/>
  <c r="Y205"/>
  <c r="Z205"/>
  <c r="AA205"/>
  <c r="AB205"/>
  <c r="Y197"/>
  <c r="Z197"/>
  <c r="AA197"/>
  <c r="AB197"/>
  <c r="Y198"/>
  <c r="Z198"/>
  <c r="AA198"/>
  <c r="AB198"/>
  <c r="Y199"/>
  <c r="Z199"/>
  <c r="AA199"/>
  <c r="AB199"/>
  <c r="Y200"/>
  <c r="Z200"/>
  <c r="AA200"/>
  <c r="AB200"/>
  <c r="Y201"/>
  <c r="Z201"/>
  <c r="AA201"/>
  <c r="AB201"/>
  <c r="Y181"/>
  <c r="Z181"/>
  <c r="AA181"/>
  <c r="AB181"/>
  <c r="Y182"/>
  <c r="Z182"/>
  <c r="AA182"/>
  <c r="AB182"/>
  <c r="Y183"/>
  <c r="Z183"/>
  <c r="AA183"/>
  <c r="AB183"/>
  <c r="Y184"/>
  <c r="Z184"/>
  <c r="AA184"/>
  <c r="AB184"/>
  <c r="Y185"/>
  <c r="Z185"/>
  <c r="AA185"/>
  <c r="AB185"/>
  <c r="Y186"/>
  <c r="Z186"/>
  <c r="AA186"/>
  <c r="AB186"/>
  <c r="Y187"/>
  <c r="Z187"/>
  <c r="AA187"/>
  <c r="AB187"/>
  <c r="Y188"/>
  <c r="Z188"/>
  <c r="AA188"/>
  <c r="AB188"/>
  <c r="Y189"/>
  <c r="Z189"/>
  <c r="AA189"/>
  <c r="AB189"/>
  <c r="Y190"/>
  <c r="Z190"/>
  <c r="AA190"/>
  <c r="AB190"/>
  <c r="Y191"/>
  <c r="Z191"/>
  <c r="AA191"/>
  <c r="AB191"/>
  <c r="Y192"/>
  <c r="Z192"/>
  <c r="AA192"/>
  <c r="AB192"/>
  <c r="Y193"/>
  <c r="Z193"/>
  <c r="AA193"/>
  <c r="AB193"/>
  <c r="Y194"/>
  <c r="Z194"/>
  <c r="AA194"/>
  <c r="AB194"/>
  <c r="Y195"/>
  <c r="Z195"/>
  <c r="AA195"/>
  <c r="AB195"/>
  <c r="Y196"/>
  <c r="Z196"/>
  <c r="AA196"/>
  <c r="AB196"/>
  <c r="Y180"/>
  <c r="Z180"/>
  <c r="AA180"/>
  <c r="AB180"/>
  <c r="Y178"/>
  <c r="Z178"/>
  <c r="AA178"/>
  <c r="AB178"/>
  <c r="Y177"/>
  <c r="Z177"/>
  <c r="AA177"/>
  <c r="AB177"/>
  <c r="X174"/>
  <c r="Y174"/>
  <c r="Z174"/>
  <c r="AA174"/>
  <c r="AB174"/>
  <c r="X168"/>
  <c r="Y168"/>
  <c r="Z168"/>
  <c r="AA168"/>
  <c r="AB168"/>
  <c r="X167"/>
  <c r="Y167"/>
  <c r="Z167"/>
  <c r="AA167"/>
  <c r="AB167"/>
  <c r="Y164"/>
  <c r="Z164"/>
  <c r="AA164"/>
  <c r="AB164"/>
  <c r="Y165"/>
  <c r="Z165"/>
  <c r="AA165"/>
  <c r="AB165"/>
  <c r="Y166"/>
  <c r="Z166"/>
  <c r="AA166"/>
  <c r="AB166"/>
  <c r="Y169"/>
  <c r="Z169"/>
  <c r="AA169"/>
  <c r="AB169"/>
  <c r="Y170"/>
  <c r="Z170"/>
  <c r="AA170"/>
  <c r="AB170"/>
  <c r="Y171"/>
  <c r="Z171"/>
  <c r="AA171"/>
  <c r="AB171"/>
  <c r="Y172"/>
  <c r="Z172"/>
  <c r="AA172"/>
  <c r="AB172"/>
  <c r="Y173"/>
  <c r="Z173"/>
  <c r="AA173"/>
  <c r="AB173"/>
  <c r="Y175"/>
  <c r="Z175"/>
  <c r="AA175"/>
  <c r="AB175"/>
  <c r="Y163"/>
  <c r="Z163"/>
  <c r="AA163"/>
  <c r="AB163"/>
  <c r="X142"/>
  <c r="Y135"/>
  <c r="Z135"/>
  <c r="AA135"/>
  <c r="AB135"/>
  <c r="Y136"/>
  <c r="Z136"/>
  <c r="AA136"/>
  <c r="AB136"/>
  <c r="Y137"/>
  <c r="Z137"/>
  <c r="AA137"/>
  <c r="AB137"/>
  <c r="Y138"/>
  <c r="Z138"/>
  <c r="AA138"/>
  <c r="AB138"/>
  <c r="Y139"/>
  <c r="Z139"/>
  <c r="AA139"/>
  <c r="AB139"/>
  <c r="Y140"/>
  <c r="Z140"/>
  <c r="AA140"/>
  <c r="AB140"/>
  <c r="Y141"/>
  <c r="Z141"/>
  <c r="AA141"/>
  <c r="AB141"/>
  <c r="Y143"/>
  <c r="Z143"/>
  <c r="AA143"/>
  <c r="AB143"/>
  <c r="Y144"/>
  <c r="Z144"/>
  <c r="AA144"/>
  <c r="AB144"/>
  <c r="Y145"/>
  <c r="Z145"/>
  <c r="AA145"/>
  <c r="AB145"/>
  <c r="Y146"/>
  <c r="Z146"/>
  <c r="AA146"/>
  <c r="AB146"/>
  <c r="Y147"/>
  <c r="Z147"/>
  <c r="AA147"/>
  <c r="AB147"/>
  <c r="Y148"/>
  <c r="Y149"/>
  <c r="Z149"/>
  <c r="AA149"/>
  <c r="AB149"/>
  <c r="Y150"/>
  <c r="Z150"/>
  <c r="AA150"/>
  <c r="AB150"/>
  <c r="Y151"/>
  <c r="Z151"/>
  <c r="AA151"/>
  <c r="AB151"/>
  <c r="Y152"/>
  <c r="Z152"/>
  <c r="AA152"/>
  <c r="AB152"/>
  <c r="Y153"/>
  <c r="Z153"/>
  <c r="AA153"/>
  <c r="AB153"/>
  <c r="Y154"/>
  <c r="Z154"/>
  <c r="AA154"/>
  <c r="AB154"/>
  <c r="Y155"/>
  <c r="Z155"/>
  <c r="AA155"/>
  <c r="AB155"/>
  <c r="Y156"/>
  <c r="Z156"/>
  <c r="AA156"/>
  <c r="AB156"/>
  <c r="Y157"/>
  <c r="Z157"/>
  <c r="AA157"/>
  <c r="AB157"/>
  <c r="Y158"/>
  <c r="Z158"/>
  <c r="AA158"/>
  <c r="AB158"/>
  <c r="Y134"/>
  <c r="Z134"/>
  <c r="AA134"/>
  <c r="AB134"/>
  <c r="Y121"/>
  <c r="Z121"/>
  <c r="AA121"/>
  <c r="AB121"/>
  <c r="Y122"/>
  <c r="Z122"/>
  <c r="AA122"/>
  <c r="AB122"/>
  <c r="Y123"/>
  <c r="Z123"/>
  <c r="AA123"/>
  <c r="AB123"/>
  <c r="Y124"/>
  <c r="Z124"/>
  <c r="AA124"/>
  <c r="AB124"/>
  <c r="Y125"/>
  <c r="Z125"/>
  <c r="AA125"/>
  <c r="AB125"/>
  <c r="Y126"/>
  <c r="Z126"/>
  <c r="AA126"/>
  <c r="AB126"/>
  <c r="Y127"/>
  <c r="Z127"/>
  <c r="AA127"/>
  <c r="AB127"/>
  <c r="Y128"/>
  <c r="Z128"/>
  <c r="AA128"/>
  <c r="AB128"/>
  <c r="Y129"/>
  <c r="Z129"/>
  <c r="AA129"/>
  <c r="AB129"/>
  <c r="Y130"/>
  <c r="Z130"/>
  <c r="AA130"/>
  <c r="AB130"/>
  <c r="Y131"/>
  <c r="Z131"/>
  <c r="AA131"/>
  <c r="AB131"/>
  <c r="Y132"/>
  <c r="Z132"/>
  <c r="AA132"/>
  <c r="AB132"/>
  <c r="Y91"/>
  <c r="Z91"/>
  <c r="AA91"/>
  <c r="AB91"/>
  <c r="Y92"/>
  <c r="Z92"/>
  <c r="AA92"/>
  <c r="AB92"/>
  <c r="Y93"/>
  <c r="Z93"/>
  <c r="AA93"/>
  <c r="AB93"/>
  <c r="Y94"/>
  <c r="Z94"/>
  <c r="AA94"/>
  <c r="AB94"/>
  <c r="Y95"/>
  <c r="Z95"/>
  <c r="AA95"/>
  <c r="AB95"/>
  <c r="Y96"/>
  <c r="Z96"/>
  <c r="AA96"/>
  <c r="AB96"/>
  <c r="Y97"/>
  <c r="Z97"/>
  <c r="AA97"/>
  <c r="AB97"/>
  <c r="Y98"/>
  <c r="Z98"/>
  <c r="AA98"/>
  <c r="AB98"/>
  <c r="Y99"/>
  <c r="Z99"/>
  <c r="AA99"/>
  <c r="AB99"/>
  <c r="Y100"/>
  <c r="Z100"/>
  <c r="AA100"/>
  <c r="AB100"/>
  <c r="Y101"/>
  <c r="Z101"/>
  <c r="AA101"/>
  <c r="AB101"/>
  <c r="Y102"/>
  <c r="Z102"/>
  <c r="AA102"/>
  <c r="AB102"/>
  <c r="Y103"/>
  <c r="Z103"/>
  <c r="AA103"/>
  <c r="AB103"/>
  <c r="Y104"/>
  <c r="Z104"/>
  <c r="AA104"/>
  <c r="AB104"/>
  <c r="Y105"/>
  <c r="Z105"/>
  <c r="AA105"/>
  <c r="AB105"/>
  <c r="Y106"/>
  <c r="Z106"/>
  <c r="AA106"/>
  <c r="AB106"/>
  <c r="Y107"/>
  <c r="Z107"/>
  <c r="AA107"/>
  <c r="AB107"/>
  <c r="Y108"/>
  <c r="Z108"/>
  <c r="AA108"/>
  <c r="AB108"/>
  <c r="Y109"/>
  <c r="Z109"/>
  <c r="AA109"/>
  <c r="AB109"/>
  <c r="Y110"/>
  <c r="Z110"/>
  <c r="AA110"/>
  <c r="AB110"/>
  <c r="Y111"/>
  <c r="Z111"/>
  <c r="AA111"/>
  <c r="AB111"/>
  <c r="Y112"/>
  <c r="Z112"/>
  <c r="AA112"/>
  <c r="AB112"/>
  <c r="Y113"/>
  <c r="Z113"/>
  <c r="AA113"/>
  <c r="AB113"/>
  <c r="Y114"/>
  <c r="Z114"/>
  <c r="AA114"/>
  <c r="AB114"/>
  <c r="Y115"/>
  <c r="Z115"/>
  <c r="AA115"/>
  <c r="AB115"/>
  <c r="Y116"/>
  <c r="Z116"/>
  <c r="AA116"/>
  <c r="AB116"/>
  <c r="Y117"/>
  <c r="Z117"/>
  <c r="AA117"/>
  <c r="AB117"/>
  <c r="Y118"/>
  <c r="Z118"/>
  <c r="AA118"/>
  <c r="AB118"/>
  <c r="Y119"/>
  <c r="Z119"/>
  <c r="AA119"/>
  <c r="AB119"/>
  <c r="Y120"/>
  <c r="Z120"/>
  <c r="AA120"/>
  <c r="AB120"/>
  <c r="Y90"/>
  <c r="Z90"/>
  <c r="AA90"/>
  <c r="AB90"/>
  <c r="Y88"/>
  <c r="Z88"/>
  <c r="AA88"/>
  <c r="AB88"/>
  <c r="Y76"/>
  <c r="Z76"/>
  <c r="AA76"/>
  <c r="AB76"/>
  <c r="Y77"/>
  <c r="Z77"/>
  <c r="AA77"/>
  <c r="AB77"/>
  <c r="Y78"/>
  <c r="Z78"/>
  <c r="AA78"/>
  <c r="AB78"/>
  <c r="Y79"/>
  <c r="Z79"/>
  <c r="AA79"/>
  <c r="AB79"/>
  <c r="Y80"/>
  <c r="Z80"/>
  <c r="AA80"/>
  <c r="AB80"/>
  <c r="Y81"/>
  <c r="Z81"/>
  <c r="AA81"/>
  <c r="AB81"/>
  <c r="Y82"/>
  <c r="Z82"/>
  <c r="AA82"/>
  <c r="AB82"/>
  <c r="Y83"/>
  <c r="Z83"/>
  <c r="AA83"/>
  <c r="AB83"/>
  <c r="Y84"/>
  <c r="Z84"/>
  <c r="AA84"/>
  <c r="AB84"/>
  <c r="Y85"/>
  <c r="Z85"/>
  <c r="AA85"/>
  <c r="AB85"/>
  <c r="Y75"/>
  <c r="Z75"/>
  <c r="AA75"/>
  <c r="AB75"/>
  <c r="Y72"/>
  <c r="Z72"/>
  <c r="AA72"/>
  <c r="AB72"/>
  <c r="Y70"/>
  <c r="Z70"/>
  <c r="AA70"/>
  <c r="AB70"/>
  <c r="X64"/>
  <c r="Y64"/>
  <c r="Z64"/>
  <c r="AA64"/>
  <c r="AB64"/>
  <c r="Y65"/>
  <c r="Z65"/>
  <c r="AA65"/>
  <c r="AB65"/>
  <c r="Y66"/>
  <c r="Z66"/>
  <c r="AA66"/>
  <c r="AB66"/>
  <c r="Y67"/>
  <c r="Z67"/>
  <c r="AA67"/>
  <c r="AB67"/>
  <c r="Y68"/>
  <c r="Z68"/>
  <c r="AA68"/>
  <c r="AB68"/>
  <c r="X55"/>
  <c r="Y55"/>
  <c r="Z55"/>
  <c r="AA55"/>
  <c r="AB55"/>
  <c r="X56"/>
  <c r="Y56"/>
  <c r="Z56"/>
  <c r="AA56"/>
  <c r="AB56"/>
  <c r="X57"/>
  <c r="Y57"/>
  <c r="Z57"/>
  <c r="AA57"/>
  <c r="AB57"/>
  <c r="X58"/>
  <c r="Y58"/>
  <c r="Z58"/>
  <c r="AA58"/>
  <c r="AB58"/>
  <c r="X59"/>
  <c r="Y59"/>
  <c r="Z59"/>
  <c r="AA59"/>
  <c r="AB59"/>
  <c r="X60"/>
  <c r="Y60"/>
  <c r="Z60"/>
  <c r="AA60"/>
  <c r="AB60"/>
  <c r="X61"/>
  <c r="Y61"/>
  <c r="Z61"/>
  <c r="AA61"/>
  <c r="AB61"/>
  <c r="Y62"/>
  <c r="Z62"/>
  <c r="AA62"/>
  <c r="AB62"/>
  <c r="X54"/>
  <c r="Y54"/>
  <c r="Z54"/>
  <c r="AA54"/>
  <c r="AB54"/>
  <c r="Y47"/>
  <c r="Z47"/>
  <c r="AA47"/>
  <c r="AB47"/>
  <c r="Y48"/>
  <c r="Z48"/>
  <c r="AA48"/>
  <c r="AB48"/>
  <c r="Y49"/>
  <c r="Z49"/>
  <c r="AA49"/>
  <c r="AB49"/>
  <c r="Y44"/>
  <c r="Z44"/>
  <c r="AA44"/>
  <c r="AB44"/>
  <c r="Y41"/>
  <c r="Z41"/>
  <c r="AA41"/>
  <c r="AB41"/>
  <c r="Y42"/>
  <c r="Z42"/>
  <c r="AA42"/>
  <c r="AB42"/>
  <c r="Y40"/>
  <c r="Z40"/>
  <c r="AA40"/>
  <c r="AB40"/>
  <c r="X37"/>
  <c r="Y37"/>
  <c r="Z37"/>
  <c r="AA37"/>
  <c r="AB37"/>
  <c r="Y35"/>
  <c r="Z35"/>
  <c r="AA35"/>
  <c r="AB35"/>
  <c r="Y36"/>
  <c r="Z36"/>
  <c r="AA36"/>
  <c r="AB36"/>
  <c r="Y38"/>
  <c r="Z38"/>
  <c r="AA38"/>
  <c r="AB38"/>
  <c r="Y34"/>
  <c r="Z34"/>
  <c r="AA34"/>
  <c r="AB34"/>
  <c r="Y27"/>
  <c r="Z27"/>
  <c r="AA27"/>
  <c r="AB27"/>
  <c r="Y28"/>
  <c r="Z28"/>
  <c r="AA28"/>
  <c r="AB28"/>
  <c r="Y29"/>
  <c r="Z29"/>
  <c r="AA29"/>
  <c r="AB29"/>
  <c r="Y30"/>
  <c r="Z30"/>
  <c r="AA30"/>
  <c r="AB30"/>
  <c r="Y26"/>
  <c r="Z26"/>
  <c r="AA26"/>
  <c r="AB26"/>
  <c r="X22"/>
  <c r="Y22"/>
  <c r="Z22"/>
  <c r="AA22"/>
  <c r="AB22"/>
  <c r="Y17"/>
  <c r="Z17"/>
  <c r="Y20"/>
  <c r="Z20"/>
  <c r="AA20"/>
  <c r="AB20"/>
  <c r="Y21"/>
  <c r="Z21"/>
  <c r="AA21"/>
  <c r="AB21"/>
  <c r="Y10"/>
  <c r="Z10"/>
  <c r="AA10"/>
  <c r="AB10"/>
  <c r="Y11"/>
  <c r="Z11"/>
  <c r="AA11"/>
  <c r="AB11"/>
  <c r="Y12"/>
  <c r="Z12"/>
  <c r="AA12"/>
  <c r="AB12"/>
  <c r="Y9"/>
  <c r="Z9"/>
  <c r="AA9"/>
  <c r="AB9"/>
  <c r="Y6"/>
  <c r="Z6"/>
  <c r="AA6"/>
  <c r="AB6"/>
  <c r="Y7"/>
  <c r="Z7"/>
  <c r="AA7"/>
  <c r="AB7"/>
  <c r="Y5"/>
  <c r="Z5"/>
  <c r="AA5"/>
  <c r="AB5"/>
  <c r="X13"/>
  <c r="Y13"/>
  <c r="Z13"/>
  <c r="AA13"/>
  <c r="AB13"/>
  <c r="X14"/>
  <c r="X15"/>
  <c r="X16"/>
  <c r="Y16"/>
  <c r="Z16"/>
  <c r="AA16"/>
  <c r="AB16"/>
  <c r="Z23"/>
  <c r="AA23"/>
  <c r="AB23"/>
  <c r="Z31"/>
  <c r="AA31"/>
  <c r="AB31"/>
  <c r="Z32"/>
  <c r="AA32"/>
  <c r="AB32"/>
  <c r="Z33"/>
  <c r="AA33"/>
  <c r="AB33"/>
  <c r="Z39"/>
  <c r="AA39"/>
  <c r="AB39"/>
  <c r="Z43"/>
  <c r="AA43"/>
  <c r="AB43"/>
  <c r="Z50"/>
  <c r="AA50"/>
  <c r="AB50"/>
  <c r="Z52"/>
  <c r="AA52"/>
  <c r="AB52"/>
  <c r="Z53"/>
  <c r="AA53"/>
  <c r="AB53"/>
  <c r="Z63"/>
  <c r="AA63"/>
  <c r="AB63"/>
  <c r="Z69"/>
  <c r="AA69"/>
  <c r="AB69"/>
  <c r="Z71"/>
  <c r="AA71"/>
  <c r="AB71"/>
  <c r="Z73"/>
  <c r="AA73"/>
  <c r="AB73"/>
  <c r="Z74"/>
  <c r="AA74"/>
  <c r="AB74"/>
  <c r="Z86"/>
  <c r="AA86"/>
  <c r="AB86"/>
  <c r="Z87"/>
  <c r="AA87"/>
  <c r="AB87"/>
  <c r="Z89"/>
  <c r="AA89"/>
  <c r="AB89"/>
  <c r="Z133"/>
  <c r="AA133"/>
  <c r="AB133"/>
  <c r="Z148"/>
  <c r="AA148"/>
  <c r="AB148"/>
  <c r="Z159"/>
  <c r="AA159"/>
  <c r="AB159"/>
  <c r="Z161"/>
  <c r="AA161"/>
  <c r="AB161"/>
  <c r="Z162"/>
  <c r="AA162"/>
  <c r="AB162"/>
  <c r="Z176"/>
  <c r="AA176"/>
  <c r="AB176"/>
  <c r="Z179"/>
  <c r="AA179"/>
  <c r="AB179"/>
  <c r="Z202"/>
  <c r="AA202"/>
  <c r="AB202"/>
  <c r="Z203"/>
  <c r="AA203"/>
  <c r="AB203"/>
  <c r="Z204"/>
  <c r="AA204"/>
  <c r="AB204"/>
  <c r="Z207"/>
  <c r="AA207"/>
  <c r="AB207"/>
  <c r="Z212"/>
  <c r="AA212"/>
  <c r="AB212"/>
  <c r="Z215"/>
  <c r="AA215"/>
  <c r="AB215"/>
  <c r="Z216"/>
  <c r="AA216"/>
  <c r="AB216"/>
  <c r="Z217"/>
  <c r="AA217"/>
  <c r="AB217"/>
  <c r="Z218"/>
  <c r="AA218"/>
  <c r="AB218"/>
  <c r="Z219"/>
  <c r="AA219"/>
  <c r="AB219"/>
  <c r="Z220"/>
  <c r="AA220"/>
  <c r="AB220"/>
  <c r="Z221"/>
  <c r="AA221"/>
  <c r="AB221"/>
  <c r="Z222"/>
  <c r="AA222"/>
  <c r="AB222"/>
  <c r="Z223"/>
  <c r="AA223"/>
  <c r="AB223"/>
  <c r="Z226"/>
  <c r="AA226"/>
  <c r="AB226"/>
  <c r="Z227"/>
  <c r="AA227"/>
  <c r="AB227"/>
  <c r="Z228"/>
  <c r="AA228"/>
  <c r="AB228"/>
  <c r="Z229"/>
  <c r="AA229"/>
  <c r="AB229"/>
  <c r="Z234"/>
  <c r="AA234"/>
  <c r="AB234"/>
  <c r="Z235"/>
  <c r="AA235"/>
  <c r="AB235"/>
  <c r="Z251"/>
  <c r="AA251"/>
  <c r="AB251"/>
  <c r="Z252"/>
  <c r="AA252"/>
  <c r="AB252"/>
  <c r="Z254"/>
  <c r="AA254"/>
  <c r="AB254"/>
  <c r="Z255"/>
  <c r="AA255"/>
  <c r="AB255"/>
  <c r="Z256"/>
  <c r="AA256"/>
  <c r="AB256"/>
  <c r="Z257"/>
  <c r="AA257"/>
  <c r="AB257"/>
  <c r="Z258"/>
  <c r="AA258"/>
  <c r="AB258"/>
  <c r="Z259"/>
  <c r="AA259"/>
  <c r="AB259"/>
  <c r="Z260"/>
  <c r="AA260"/>
  <c r="AB260"/>
  <c r="Z261"/>
  <c r="AA261"/>
  <c r="AB261"/>
  <c r="Z262"/>
  <c r="AA262"/>
  <c r="AB262"/>
  <c r="Z3"/>
  <c r="AA3"/>
  <c r="AB3"/>
  <c r="Z4"/>
  <c r="AA4"/>
  <c r="AB4"/>
  <c r="Z8"/>
  <c r="AA8"/>
  <c r="AB8"/>
  <c r="Z14"/>
  <c r="AA14"/>
  <c r="AB14"/>
  <c r="Z15"/>
  <c r="AA15"/>
  <c r="AB15"/>
  <c r="Y18"/>
  <c r="Z18"/>
  <c r="AA18"/>
  <c r="AB18"/>
  <c r="AB19"/>
  <c r="W246"/>
  <c r="X246"/>
  <c r="Y246"/>
  <c r="Z246"/>
  <c r="AA246"/>
  <c r="AB246"/>
  <c r="W247"/>
  <c r="X247"/>
  <c r="Y247"/>
  <c r="Z247"/>
  <c r="AA247"/>
  <c r="AB247"/>
  <c r="W245"/>
  <c r="X245"/>
  <c r="Y245"/>
  <c r="Z245"/>
  <c r="AA245"/>
  <c r="AB245"/>
  <c r="W244"/>
  <c r="X244"/>
  <c r="Y244"/>
  <c r="Z244"/>
  <c r="AA244"/>
  <c r="AB244"/>
  <c r="W250"/>
  <c r="X250"/>
  <c r="Y250"/>
  <c r="Z250"/>
  <c r="AA250"/>
  <c r="AB250"/>
  <c r="W249"/>
  <c r="X249"/>
  <c r="Y249"/>
  <c r="Z249"/>
  <c r="AA249"/>
  <c r="AB249"/>
  <c r="W248"/>
  <c r="X248"/>
  <c r="Y248"/>
  <c r="Z248"/>
  <c r="AA248"/>
  <c r="AB248"/>
  <c r="AA17"/>
  <c r="AB17"/>
  <c r="Y142"/>
  <c r="Z142"/>
  <c r="AA142"/>
  <c r="AB142"/>
  <c r="X236"/>
  <c r="Y236"/>
  <c r="Z236"/>
  <c r="AA236"/>
  <c r="AB236"/>
  <c r="T243"/>
  <c r="U243"/>
  <c r="V243"/>
  <c r="W243"/>
  <c r="X243"/>
  <c r="Y243"/>
  <c r="Z243"/>
  <c r="AA243"/>
  <c r="AB243"/>
</calcChain>
</file>

<file path=xl/comments1.xml><?xml version="1.0" encoding="utf-8"?>
<comments xmlns="http://schemas.openxmlformats.org/spreadsheetml/2006/main">
  <authors>
    <author>Treybalova Marcela</author>
    <author>Marcela Treybalova (TPCA)</author>
    <author>Jan Tomas (TMMCZ)</author>
  </authors>
  <commentList>
    <comment ref="B85" authorId="0">
      <text>
        <r>
          <rPr>
            <b/>
            <sz val="8"/>
            <color indexed="81"/>
            <rFont val="Tahoma"/>
            <family val="2"/>
          </rPr>
          <t>na základě vyjádření Ing Paint-</t>
        </r>
        <r>
          <rPr>
            <b/>
            <sz val="10"/>
            <color indexed="10"/>
            <rFont val="Tahoma"/>
            <family val="2"/>
          </rPr>
          <t xml:space="preserve"> dát do používání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B86" authorId="0">
      <text>
        <r>
          <rPr>
            <b/>
            <sz val="8"/>
            <color indexed="81"/>
            <rFont val="Tahoma"/>
            <family val="2"/>
          </rPr>
          <t>na základě vyjádření Ing Paint-</t>
        </r>
        <r>
          <rPr>
            <b/>
            <sz val="10"/>
            <color indexed="10"/>
            <rFont val="Tahoma"/>
            <family val="2"/>
          </rPr>
          <t xml:space="preserve"> dát do používání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M154" authorId="1">
      <text>
        <r>
          <rPr>
            <b/>
            <sz val="9"/>
            <color indexed="81"/>
            <rFont val="Tahoma"/>
            <family val="2"/>
            <charset val="238"/>
          </rPr>
          <t xml:space="preserve">
±  7 pH / 14 pH</t>
        </r>
        <r>
          <rPr>
            <sz val="9"/>
            <color indexed="81"/>
            <rFont val="Tahoma"/>
            <family val="2"/>
            <charset val="238"/>
          </rPr>
          <t xml:space="preserve">
± 1200 / 2500mV</t>
        </r>
      </text>
    </comment>
    <comment ref="B163" authorId="0">
      <text>
        <r>
          <rPr>
            <b/>
            <sz val="8"/>
            <color indexed="81"/>
            <rFont val="Tahoma"/>
            <family val="2"/>
          </rPr>
          <t>na základě vyjádření Ing Paint-</t>
        </r>
        <r>
          <rPr>
            <b/>
            <sz val="10"/>
            <color indexed="10"/>
            <rFont val="Tahoma"/>
            <family val="2"/>
          </rPr>
          <t xml:space="preserve"> dát do používání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B164" authorId="0">
      <text>
        <r>
          <rPr>
            <b/>
            <sz val="8"/>
            <color indexed="81"/>
            <rFont val="Tahoma"/>
            <family val="2"/>
          </rPr>
          <t>na základě vyjádření Ing Paint-</t>
        </r>
        <r>
          <rPr>
            <b/>
            <sz val="10"/>
            <color indexed="10"/>
            <rFont val="Tahoma"/>
            <family val="2"/>
          </rPr>
          <t xml:space="preserve"> dát do používání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M191" authorId="1">
      <text>
        <r>
          <rPr>
            <b/>
            <sz val="9"/>
            <color indexed="81"/>
            <rFont val="Tahoma"/>
            <family val="2"/>
            <charset val="238"/>
          </rPr>
          <t xml:space="preserve">
±  7 pH / 14 pH
± 1000 / 4700mV</t>
        </r>
        <r>
          <rPr>
            <sz val="9"/>
            <color indexed="81"/>
            <rFont val="Tahoma"/>
            <family val="2"/>
            <charset val="238"/>
          </rPr>
          <t xml:space="preserve">
</t>
        </r>
      </text>
    </comment>
    <comment ref="K224" authorId="2">
      <text>
        <r>
          <rPr>
            <b/>
            <sz val="9"/>
            <color indexed="81"/>
            <rFont val="Tahoma"/>
            <family val="2"/>
          </rPr>
          <t>Jan Tomas (TMMCZ):</t>
        </r>
        <r>
          <rPr>
            <sz val="9"/>
            <color indexed="81"/>
            <rFont val="Tahoma"/>
            <family val="2"/>
          </rPr>
          <t xml:space="preserve">
po kalibraci v r.2025 chtějí frekvenci kalibrace na 1 rok</t>
        </r>
      </text>
    </comment>
  </commentList>
</comments>
</file>

<file path=xl/sharedStrings.xml><?xml version="1.0" encoding="utf-8"?>
<sst xmlns="http://schemas.openxmlformats.org/spreadsheetml/2006/main" count="1792" uniqueCount="435">
  <si>
    <t>Evidenční číslo</t>
  </si>
  <si>
    <t xml:space="preserve"> stanovená měřidla , etalony</t>
  </si>
  <si>
    <t>NÁZEV MĚŘIDLA</t>
  </si>
  <si>
    <t>Firma kalibrující měřidlo
Company calibrating the meter</t>
  </si>
  <si>
    <t xml:space="preserve"> Status</t>
  </si>
  <si>
    <r>
      <t xml:space="preserve">Certifikát                            </t>
    </r>
    <r>
      <rPr>
        <i/>
        <sz val="10"/>
        <rFont val="Arial CE"/>
        <family val="2"/>
        <charset val="238"/>
      </rPr>
      <t>Cal. Certificate</t>
    </r>
  </si>
  <si>
    <r>
      <t xml:space="preserve">Datum poslední kalibrace         </t>
    </r>
    <r>
      <rPr>
        <i/>
        <sz val="10"/>
        <rFont val="Arial CE"/>
        <family val="2"/>
        <charset val="238"/>
      </rPr>
      <t>Last Calibration date</t>
    </r>
  </si>
  <si>
    <t xml:space="preserve">Plánování kalibrace                       na roky              </t>
  </si>
  <si>
    <r>
      <t xml:space="preserve">Frekvence                                </t>
    </r>
    <r>
      <rPr>
        <i/>
        <sz val="10"/>
        <rFont val="Arial CE"/>
        <family val="2"/>
        <charset val="238"/>
      </rPr>
      <t>Frequency     (v letech)</t>
    </r>
  </si>
  <si>
    <r>
      <t xml:space="preserve">Kategorie(podle způsobu zajištění kalibrace) I.-IV.  </t>
    </r>
    <r>
      <rPr>
        <i/>
        <sz val="10"/>
        <rFont val="Arial CE"/>
        <charset val="238"/>
      </rPr>
      <t>Category I.-IV.</t>
    </r>
  </si>
  <si>
    <t>(dovolená odchylka)
mez -tolerance</t>
  </si>
  <si>
    <r>
      <t xml:space="preserve">měř.rozsah                                   </t>
    </r>
    <r>
      <rPr>
        <i/>
        <sz val="10"/>
        <rFont val="Arial CE"/>
        <family val="2"/>
        <charset val="238"/>
      </rPr>
      <t>range</t>
    </r>
  </si>
  <si>
    <r>
      <t xml:space="preserve">PŘESNOST                 </t>
    </r>
    <r>
      <rPr>
        <i/>
        <sz val="10"/>
        <rFont val="Arial CE"/>
        <family val="2"/>
        <charset val="238"/>
      </rPr>
      <t xml:space="preserve"> ACCURACY</t>
    </r>
  </si>
  <si>
    <r>
      <t>Pro fiskální rok</t>
    </r>
    <r>
      <rPr>
        <b/>
        <sz val="12"/>
        <color indexed="60"/>
        <rFont val="Arial"/>
        <family val="2"/>
      </rPr>
      <t xml:space="preserve"> 1.4.2025-31.3.2026</t>
    </r>
    <r>
      <rPr>
        <b/>
        <sz val="10"/>
        <color indexed="60"/>
        <rFont val="Arial"/>
        <family val="2"/>
      </rPr>
      <t xml:space="preserve"> kalkulace o navýšeno o inflaci u ČMI </t>
    </r>
  </si>
  <si>
    <t>Poznnámka ČMI</t>
  </si>
  <si>
    <t>teploměr</t>
  </si>
  <si>
    <t>ČMI</t>
  </si>
  <si>
    <t>v používání</t>
  </si>
  <si>
    <t>kalibrovat   0-20-60</t>
  </si>
  <si>
    <t>C</t>
  </si>
  <si>
    <t>1˚C</t>
  </si>
  <si>
    <t>0-30° C</t>
  </si>
  <si>
    <t>± 1˚C</t>
  </si>
  <si>
    <t>stopky</t>
  </si>
  <si>
    <t>0,05 s</t>
  </si>
  <si>
    <t>0-100 s</t>
  </si>
  <si>
    <r>
      <rPr>
        <sz val="10"/>
        <rFont val="Calibri"/>
        <family val="2"/>
      </rPr>
      <t>±</t>
    </r>
    <r>
      <rPr>
        <sz val="11"/>
        <color theme="1"/>
        <rFont val="Calibri"/>
        <family val="2"/>
        <charset val="238"/>
        <scheme val="minor"/>
      </rPr>
      <t>0,05 s</t>
    </r>
  </si>
  <si>
    <t>zkoušečka tlaku</t>
  </si>
  <si>
    <t>kalibraci domlouvat před odstávkou, testy</t>
  </si>
  <si>
    <t>0-200kPa</t>
  </si>
  <si>
    <t>úhloměr</t>
  </si>
  <si>
    <r>
      <t>5</t>
    </r>
    <r>
      <rPr>
        <sz val="10"/>
        <rFont val="Arial"/>
        <family val="2"/>
      </rPr>
      <t>˚</t>
    </r>
  </si>
  <si>
    <t>S 60° a 45° hranami</t>
  </si>
  <si>
    <r>
      <t>1</t>
    </r>
    <r>
      <rPr>
        <sz val="10"/>
        <rFont val="Arial"/>
        <family val="2"/>
      </rPr>
      <t>˚</t>
    </r>
  </si>
  <si>
    <t>váha</t>
  </si>
  <si>
    <t>5g</t>
  </si>
  <si>
    <t>15kg</t>
  </si>
  <si>
    <t>2g</t>
  </si>
  <si>
    <t>dutinoměr sada+indikátor</t>
  </si>
  <si>
    <t>neúplná výbava</t>
  </si>
  <si>
    <t>0,005 mm</t>
  </si>
  <si>
    <t>18-35. 35-60. 50-150 mm</t>
  </si>
  <si>
    <t>0,003 mm</t>
  </si>
  <si>
    <t>sada paralerních zákl.měrek</t>
  </si>
  <si>
    <r>
      <rPr>
        <sz val="11"/>
        <color theme="1"/>
        <rFont val="Calibri"/>
        <family val="2"/>
        <charset val="238"/>
        <scheme val="minor"/>
      </rPr>
      <t>0,05</t>
    </r>
    <r>
      <rPr>
        <sz val="10"/>
        <rFont val="Calibri"/>
        <family val="2"/>
        <charset val="238"/>
      </rPr>
      <t>μ</t>
    </r>
    <r>
      <rPr>
        <sz val="11"/>
        <color theme="1"/>
        <rFont val="Calibri"/>
        <family val="2"/>
        <charset val="238"/>
        <scheme val="minor"/>
      </rPr>
      <t>m</t>
    </r>
  </si>
  <si>
    <t>stanovené</t>
  </si>
  <si>
    <t>akustický kalibrátor</t>
  </si>
  <si>
    <r>
      <t>160Hz/10m.s</t>
    </r>
    <r>
      <rPr>
        <sz val="10"/>
        <rFont val="Calibri"/>
        <family val="2"/>
      </rPr>
      <t>¯²</t>
    </r>
    <r>
      <rPr>
        <sz val="11"/>
        <color theme="1"/>
        <rFont val="Calibri"/>
        <family val="2"/>
        <charset val="238"/>
        <scheme val="minor"/>
      </rPr>
      <t>/10mm.s</t>
    </r>
    <r>
      <rPr>
        <sz val="10"/>
        <rFont val="Calibri"/>
        <family val="2"/>
      </rPr>
      <t>¯¹/10µm/1%</t>
    </r>
  </si>
  <si>
    <t>etalon</t>
  </si>
  <si>
    <t>tester momentových klíčů 20N</t>
  </si>
  <si>
    <t>0-20Nm</t>
  </si>
  <si>
    <t>tester momentových klíčů 100N</t>
  </si>
  <si>
    <t>0-100Nm</t>
  </si>
  <si>
    <t>zkoušečka obvodů</t>
  </si>
  <si>
    <t xml:space="preserve">viz kalibrační list   </t>
  </si>
  <si>
    <t>neuvedeno</t>
  </si>
  <si>
    <t>rychloměr SPC.FLTR.</t>
  </si>
  <si>
    <t>kalibrace společná s 0242</t>
  </si>
  <si>
    <t>rychloměr s fotobuňkou</t>
  </si>
  <si>
    <t>kalibrace společná s 0209</t>
  </si>
  <si>
    <t>100km</t>
  </si>
  <si>
    <t>sušárna</t>
  </si>
  <si>
    <r>
      <rPr>
        <sz val="11"/>
        <color theme="1"/>
        <rFont val="Calibri"/>
        <family val="2"/>
        <charset val="238"/>
        <scheme val="minor"/>
      </rPr>
      <t xml:space="preserve">5 </t>
    </r>
    <r>
      <rPr>
        <sz val="10"/>
        <rFont val="Arial"/>
        <family val="2"/>
      </rPr>
      <t>˚</t>
    </r>
    <r>
      <rPr>
        <sz val="11"/>
        <color theme="1"/>
        <rFont val="Calibri"/>
        <family val="2"/>
        <charset val="238"/>
        <scheme val="minor"/>
      </rPr>
      <t>C</t>
    </r>
  </si>
  <si>
    <t>80˚C / 110˚C / 150 ˚C</t>
  </si>
  <si>
    <r>
      <rPr>
        <sz val="10"/>
        <rFont val="Calibri"/>
        <family val="2"/>
      </rPr>
      <t>±</t>
    </r>
    <r>
      <rPr>
        <sz val="11"/>
        <color theme="1"/>
        <rFont val="Calibri"/>
        <family val="2"/>
        <charset val="238"/>
        <scheme val="minor"/>
      </rPr>
      <t xml:space="preserve">1,5 </t>
    </r>
    <r>
      <rPr>
        <sz val="10"/>
        <rFont val="Arial"/>
        <family val="2"/>
      </rPr>
      <t>˚</t>
    </r>
    <r>
      <rPr>
        <sz val="11"/>
        <color theme="1"/>
        <rFont val="Calibri"/>
        <family val="2"/>
        <charset val="238"/>
        <scheme val="minor"/>
      </rPr>
      <t>C</t>
    </r>
  </si>
  <si>
    <t>páčkový úchylkoměr</t>
  </si>
  <si>
    <t>0,5mm</t>
  </si>
  <si>
    <t>0-0,5mm</t>
  </si>
  <si>
    <t>0,01mm</t>
  </si>
  <si>
    <t>tester momentových klíčů 360N</t>
  </si>
  <si>
    <t>0-360Nm</t>
  </si>
  <si>
    <t>tester moment.klíčů DOTE 36N</t>
  </si>
  <si>
    <t>36N</t>
  </si>
  <si>
    <t>0.01Nm</t>
  </si>
  <si>
    <t>tester moment.klíčů DOTE 200N</t>
  </si>
  <si>
    <t>200N</t>
  </si>
  <si>
    <t xml:space="preserve">posuvné měřítko  </t>
  </si>
  <si>
    <t>poškozený kryt</t>
  </si>
  <si>
    <t>0,08mm</t>
  </si>
  <si>
    <t>850mm</t>
  </si>
  <si>
    <r>
      <rPr>
        <sz val="10"/>
        <rFont val="Calibri"/>
        <family val="2"/>
      </rPr>
      <t>±</t>
    </r>
    <r>
      <rPr>
        <sz val="10"/>
        <rFont val="Arial"/>
        <family val="2"/>
      </rPr>
      <t>0,03mm</t>
    </r>
  </si>
  <si>
    <t>6kg</t>
  </si>
  <si>
    <t>1g</t>
  </si>
  <si>
    <t>0,1mm</t>
  </si>
  <si>
    <t>0-1,6mm</t>
  </si>
  <si>
    <t>siloměr</t>
  </si>
  <si>
    <t>500N</t>
  </si>
  <si>
    <t>5N</t>
  </si>
  <si>
    <t>0,5˚</t>
  </si>
  <si>
    <r>
      <t>0-180</t>
    </r>
    <r>
      <rPr>
        <sz val="10"/>
        <rFont val="Arial"/>
        <family val="2"/>
      </rPr>
      <t>˚</t>
    </r>
  </si>
  <si>
    <t>teploměr / vlhkoměr</t>
  </si>
  <si>
    <t>na žádost vlastníka uznaná kalibrace</t>
  </si>
  <si>
    <t>1,5˚/ 5%</t>
  </si>
  <si>
    <t>(-30+60)°C  (20-90)%  a (0-50)˚C</t>
  </si>
  <si>
    <t>koncová měrka</t>
  </si>
  <si>
    <t>0,03mm</t>
  </si>
  <si>
    <t>500mm</t>
  </si>
  <si>
    <t>0,02mm</t>
  </si>
  <si>
    <t>číselníkový úchylkoměr</t>
  </si>
  <si>
    <t>0,05mm</t>
  </si>
  <si>
    <t>0-10mm</t>
  </si>
  <si>
    <t>klešťový měřič uzemění</t>
  </si>
  <si>
    <t>viz kalibrační list</t>
  </si>
  <si>
    <t>0-1500Ohm</t>
  </si>
  <si>
    <t>0.1Ohm</t>
  </si>
  <si>
    <t>konduktometr</t>
  </si>
  <si>
    <t>0-2500mikrosim</t>
  </si>
  <si>
    <t>laboratorní váha</t>
  </si>
  <si>
    <t>±0,5mg/1mg</t>
  </si>
  <si>
    <t>60g/210g</t>
  </si>
  <si>
    <t>0,01mg/0,1mg</t>
  </si>
  <si>
    <r>
      <rPr>
        <sz val="10"/>
        <rFont val="Calibri"/>
        <family val="2"/>
      </rPr>
      <t>±</t>
    </r>
    <r>
      <rPr>
        <sz val="11"/>
        <color theme="1"/>
        <rFont val="Calibri"/>
        <family val="2"/>
        <charset val="238"/>
        <scheme val="minor"/>
      </rPr>
      <t>0,05mm</t>
    </r>
  </si>
  <si>
    <t>0,001mm</t>
  </si>
  <si>
    <t>v opravě</t>
  </si>
  <si>
    <t>v opravě od června 2024</t>
  </si>
  <si>
    <t>±5 ˚C</t>
  </si>
  <si>
    <t>105 ˚C  a 140 ˚C</t>
  </si>
  <si>
    <t>kalibrační fólie</t>
  </si>
  <si>
    <r>
      <rPr>
        <sz val="10"/>
        <rFont val="Calibri"/>
        <family val="2"/>
      </rPr>
      <t>±</t>
    </r>
    <r>
      <rPr>
        <sz val="11"/>
        <color theme="1"/>
        <rFont val="Calibri"/>
        <family val="2"/>
        <charset val="238"/>
        <scheme val="minor"/>
      </rPr>
      <t>0,5</t>
    </r>
    <r>
      <rPr>
        <sz val="10"/>
        <rFont val="Calibri"/>
        <family val="2"/>
      </rPr>
      <t>µ</t>
    </r>
    <r>
      <rPr>
        <sz val="11"/>
        <color theme="1"/>
        <rFont val="Calibri"/>
        <family val="2"/>
        <charset val="238"/>
        <scheme val="minor"/>
      </rPr>
      <t>m-9µm</t>
    </r>
  </si>
  <si>
    <t>otáčkoměr</t>
  </si>
  <si>
    <r>
      <rPr>
        <sz val="10"/>
        <rFont val="Calibri"/>
        <family val="2"/>
      </rPr>
      <t>±</t>
    </r>
    <r>
      <rPr>
        <sz val="11"/>
        <color theme="1"/>
        <rFont val="Calibri"/>
        <family val="2"/>
        <charset val="238"/>
        <scheme val="minor"/>
      </rPr>
      <t xml:space="preserve">0,2% </t>
    </r>
  </si>
  <si>
    <t>100-90000ot/min</t>
  </si>
  <si>
    <t>viskozimetr-Ford- kelímek</t>
  </si>
  <si>
    <t>10-100s</t>
  </si>
  <si>
    <t>ocelové měřidlo k výškoměru</t>
  </si>
  <si>
    <r>
      <rPr>
        <sz val="10"/>
        <rFont val="Calibri"/>
        <family val="2"/>
      </rPr>
      <t>±</t>
    </r>
    <r>
      <rPr>
        <sz val="11"/>
        <color theme="1"/>
        <rFont val="Calibri"/>
        <family val="2"/>
        <charset val="238"/>
        <scheme val="minor"/>
      </rPr>
      <t>1mm</t>
    </r>
  </si>
  <si>
    <t>0-300mm</t>
  </si>
  <si>
    <t>měřidlo podtlaku na odsávání exhalací</t>
  </si>
  <si>
    <t>0,2 kPa</t>
  </si>
  <si>
    <t>± 0-10 kPa</t>
  </si>
  <si>
    <r>
      <rPr>
        <sz val="10"/>
        <rFont val="Calibri"/>
        <family val="2"/>
      </rPr>
      <t>±</t>
    </r>
    <r>
      <rPr>
        <sz val="11"/>
        <color theme="1"/>
        <rFont val="Calibri"/>
        <family val="2"/>
        <charset val="238"/>
        <scheme val="minor"/>
      </rPr>
      <t>0,005mm</t>
    </r>
  </si>
  <si>
    <t>0-1mm</t>
  </si>
  <si>
    <t>master pol - set</t>
  </si>
  <si>
    <t>0,002mm</t>
  </si>
  <si>
    <t>závaží</t>
  </si>
  <si>
    <r>
      <rPr>
        <sz val="10"/>
        <rFont val="Calibri"/>
        <family val="2"/>
      </rPr>
      <t>±</t>
    </r>
    <r>
      <rPr>
        <sz val="11"/>
        <color theme="1"/>
        <rFont val="Calibri"/>
        <family val="2"/>
        <charset val="238"/>
        <scheme val="minor"/>
      </rPr>
      <t>1%</t>
    </r>
  </si>
  <si>
    <t>34 ks 5kg  = á 300,- Kč</t>
  </si>
  <si>
    <t>přístroj na měření odporu kabelů</t>
  </si>
  <si>
    <r>
      <rPr>
        <sz val="11"/>
        <color theme="1"/>
        <rFont val="Calibri"/>
        <family val="2"/>
        <charset val="238"/>
        <scheme val="minor"/>
      </rPr>
      <t>0,02m</t>
    </r>
    <r>
      <rPr>
        <sz val="10"/>
        <rFont val="Calibri"/>
        <family val="2"/>
      </rPr>
      <t>Ω</t>
    </r>
  </si>
  <si>
    <r>
      <t>0,003m</t>
    </r>
    <r>
      <rPr>
        <sz val="10"/>
        <rFont val="Calibri"/>
        <family val="2"/>
      </rPr>
      <t>Ω˜</t>
    </r>
    <r>
      <rPr>
        <sz val="11"/>
        <color theme="1"/>
        <rFont val="Calibri"/>
        <family val="2"/>
        <charset val="238"/>
        <scheme val="minor"/>
      </rPr>
      <t>19,999mΩ</t>
    </r>
  </si>
  <si>
    <r>
      <rPr>
        <sz val="10"/>
        <rFont val="Calibri"/>
        <family val="2"/>
      </rPr>
      <t>&lt;=</t>
    </r>
    <r>
      <rPr>
        <sz val="11"/>
        <color theme="1"/>
        <rFont val="Calibri"/>
        <family val="2"/>
        <charset val="238"/>
        <scheme val="minor"/>
      </rPr>
      <t>3/1,000</t>
    </r>
  </si>
  <si>
    <t>převodník tlaku</t>
  </si>
  <si>
    <t>0,0-10,0 bar</t>
  </si>
  <si>
    <t>spektrofotometr-macbeth + kolorimetrický etalon</t>
  </si>
  <si>
    <t>dle posouzení ING - QC</t>
  </si>
  <si>
    <t>měřič tlaku pneumatik</t>
  </si>
  <si>
    <r>
      <rPr>
        <sz val="10"/>
        <rFont val="Calibri"/>
        <family val="2"/>
      </rPr>
      <t>±</t>
    </r>
    <r>
      <rPr>
        <sz val="10"/>
        <rFont val="Arial"/>
        <family val="2"/>
      </rPr>
      <t>0,1%</t>
    </r>
  </si>
  <si>
    <t xml:space="preserve">     bar</t>
  </si>
  <si>
    <t>kalibr  -  GO / NOGO</t>
  </si>
  <si>
    <r>
      <rPr>
        <sz val="10"/>
        <rFont val="Calibri"/>
        <family val="2"/>
      </rPr>
      <t>±</t>
    </r>
    <r>
      <rPr>
        <sz val="11"/>
        <color theme="1"/>
        <rFont val="Calibri"/>
        <family val="2"/>
        <charset val="238"/>
        <scheme val="minor"/>
      </rPr>
      <t>0,01mm</t>
    </r>
  </si>
  <si>
    <t>68,879-68,909mm</t>
  </si>
  <si>
    <r>
      <rPr>
        <sz val="10"/>
        <rFont val="Calibri"/>
        <family val="2"/>
      </rPr>
      <t>±</t>
    </r>
    <r>
      <rPr>
        <sz val="11"/>
        <color theme="1"/>
        <rFont val="Calibri"/>
        <family val="2"/>
        <charset val="238"/>
        <scheme val="minor"/>
      </rPr>
      <t>0,004mm</t>
    </r>
  </si>
  <si>
    <t xml:space="preserve">teploměr </t>
  </si>
  <si>
    <t>±0,8°C</t>
  </si>
  <si>
    <t>0-100°C / 0,2°C</t>
  </si>
  <si>
    <t>0,5°C</t>
  </si>
  <si>
    <t>kalibr  -  GO</t>
  </si>
  <si>
    <t>38,00MM+0,038</t>
  </si>
  <si>
    <t>kalibr  -  NOGO</t>
  </si>
  <si>
    <t>38,00MM+0,022</t>
  </si>
  <si>
    <t>69,00MM-0,001</t>
  </si>
  <si>
    <t>69,00MM-0,001/-0,013</t>
  </si>
  <si>
    <t>kalibr  -  hladký kuželový</t>
  </si>
  <si>
    <t>V.P.16,30mm,M.P.12,4mm+0,2/-0,1</t>
  </si>
  <si>
    <t>0,2mm</t>
  </si>
  <si>
    <t>12,3/12,6mm+0,2/-0,1</t>
  </si>
  <si>
    <t>14,8mm+0,2/-0,1</t>
  </si>
  <si>
    <t>37,991/38,00mm-0,009</t>
  </si>
  <si>
    <t>sada měřících kolíků</t>
  </si>
  <si>
    <r>
      <rPr>
        <sz val="10"/>
        <rFont val="Calibri"/>
        <family val="2"/>
      </rPr>
      <t>±</t>
    </r>
    <r>
      <rPr>
        <sz val="11"/>
        <color theme="1"/>
        <rFont val="Calibri"/>
        <family val="2"/>
        <charset val="238"/>
        <scheme val="minor"/>
      </rPr>
      <t>1-1,5 mm</t>
    </r>
  </si>
  <si>
    <t>0,4-5,0 mm</t>
  </si>
  <si>
    <t>kalibr HLADKÝ VÁLCOVÝ  -  GO / NOGO</t>
  </si>
  <si>
    <t>68,879/68,909 -U7</t>
  </si>
  <si>
    <t>0-1000=0,5min.
10000-99000=40min.</t>
  </si>
  <si>
    <t>0-90000 ot/min.</t>
  </si>
  <si>
    <t>1kN / 1%</t>
  </si>
  <si>
    <t>0-10 kN</t>
  </si>
  <si>
    <t>0,04kN / 1%</t>
  </si>
  <si>
    <t>0-8mm</t>
  </si>
  <si>
    <t>5 kg</t>
  </si>
  <si>
    <r>
      <t xml:space="preserve">170  </t>
    </r>
    <r>
      <rPr>
        <sz val="10"/>
        <rFont val="Arial"/>
        <family val="2"/>
      </rPr>
      <t>˚</t>
    </r>
    <r>
      <rPr>
        <sz val="11"/>
        <color theme="1"/>
        <rFont val="Calibri"/>
        <family val="2"/>
        <charset val="238"/>
        <scheme val="minor"/>
      </rPr>
      <t>C</t>
    </r>
  </si>
  <si>
    <t>±1°C</t>
  </si>
  <si>
    <r>
      <t>±40</t>
    </r>
    <r>
      <rPr>
        <sz val="10"/>
        <rFont val="Calibri"/>
        <family val="2"/>
      </rPr>
      <t>⁰C</t>
    </r>
  </si>
  <si>
    <t>0,1°C</t>
  </si>
  <si>
    <t>manometr</t>
  </si>
  <si>
    <t>±10%</t>
  </si>
  <si>
    <t>0-500Pa</t>
  </si>
  <si>
    <t>nauvedena</t>
  </si>
  <si>
    <t xml:space="preserve"> 50 g</t>
  </si>
  <si>
    <t>0-36 kg</t>
  </si>
  <si>
    <t>0,01g</t>
  </si>
  <si>
    <t>ampérmetr svař.proudu</t>
  </si>
  <si>
    <t>0,5kA</t>
  </si>
  <si>
    <t>0-10kA</t>
  </si>
  <si>
    <r>
      <rPr>
        <sz val="10"/>
        <rFont val="Calibri"/>
        <family val="2"/>
      </rPr>
      <t>±</t>
    </r>
    <r>
      <rPr>
        <sz val="11"/>
        <color theme="1"/>
        <rFont val="Calibri"/>
        <family val="2"/>
        <charset val="238"/>
        <scheme val="minor"/>
      </rPr>
      <t>0,2kA</t>
    </r>
  </si>
  <si>
    <t>5mm</t>
  </si>
  <si>
    <t>přístroj na měření křivek + sondy</t>
  </si>
  <si>
    <t>±3%</t>
  </si>
  <si>
    <r>
      <t>100-250</t>
    </r>
    <r>
      <rPr>
        <sz val="10"/>
        <rFont val="Calibri"/>
        <family val="2"/>
      </rPr>
      <t>⁰</t>
    </r>
    <r>
      <rPr>
        <sz val="11"/>
        <color theme="1"/>
        <rFont val="Calibri"/>
        <family val="2"/>
        <charset val="238"/>
        <scheme val="minor"/>
      </rPr>
      <t>C</t>
    </r>
  </si>
  <si>
    <r>
      <rPr>
        <sz val="10"/>
        <rFont val="Calibri"/>
        <family val="2"/>
      </rPr>
      <t>±</t>
    </r>
    <r>
      <rPr>
        <sz val="11"/>
        <color theme="1"/>
        <rFont val="Calibri"/>
        <family val="2"/>
        <charset val="238"/>
        <scheme val="minor"/>
      </rPr>
      <t>0,05s</t>
    </r>
  </si>
  <si>
    <t>±0,01s</t>
  </si>
  <si>
    <t>2g/5g</t>
  </si>
  <si>
    <t>6kg/15kg</t>
  </si>
  <si>
    <t>záložní</t>
  </si>
  <si>
    <t>±2g</t>
  </si>
  <si>
    <t>8000g</t>
  </si>
  <si>
    <t>0,1g</t>
  </si>
  <si>
    <t>1kN</t>
  </si>
  <si>
    <t>0,04kN</t>
  </si>
  <si>
    <t>teploměr se sondou</t>
  </si>
  <si>
    <r>
      <rPr>
        <sz val="10"/>
        <rFont val="Calibri"/>
        <family val="2"/>
      </rPr>
      <t>±1</t>
    </r>
    <r>
      <rPr>
        <sz val="10"/>
        <rFont val="Arial"/>
        <family val="2"/>
      </rPr>
      <t>°C</t>
    </r>
  </si>
  <si>
    <t>-30 / +105°C</t>
  </si>
  <si>
    <r>
      <rPr>
        <sz val="10"/>
        <rFont val="Calibri"/>
        <family val="2"/>
      </rPr>
      <t>±0,1</t>
    </r>
    <r>
      <rPr>
        <sz val="10"/>
        <rFont val="Arial"/>
        <family val="2"/>
      </rPr>
      <t>°C</t>
    </r>
  </si>
  <si>
    <r>
      <t>0,1</t>
    </r>
    <r>
      <rPr>
        <sz val="10"/>
        <rFont val="Calibri"/>
        <family val="2"/>
      </rPr>
      <t>µ</t>
    </r>
    <r>
      <rPr>
        <sz val="11"/>
        <color theme="1"/>
        <rFont val="Calibri"/>
        <family val="2"/>
        <charset val="238"/>
        <scheme val="minor"/>
      </rPr>
      <t>m</t>
    </r>
  </si>
  <si>
    <t>50mm</t>
  </si>
  <si>
    <t>30mm</t>
  </si>
  <si>
    <t>deformační tlakoměr</t>
  </si>
  <si>
    <t>±1%</t>
  </si>
  <si>
    <t>0-1,6bar</t>
  </si>
  <si>
    <t>1 bar</t>
  </si>
  <si>
    <t xml:space="preserve">odporový teploměr  </t>
  </si>
  <si>
    <t>0,2mA/2°C</t>
  </si>
  <si>
    <r>
      <t>0-50-100</t>
    </r>
    <r>
      <rPr>
        <sz val="10"/>
        <rFont val="Calibri"/>
        <family val="2"/>
      </rPr>
      <t>°</t>
    </r>
    <r>
      <rPr>
        <sz val="11"/>
        <color theme="1"/>
        <rFont val="Calibri"/>
        <family val="2"/>
        <charset val="238"/>
        <scheme val="minor"/>
      </rPr>
      <t>C</t>
    </r>
  </si>
  <si>
    <t>hořákový box ED</t>
  </si>
  <si>
    <t>Kalibrace o víkendu, odstávce</t>
  </si>
  <si>
    <t>± 10⁰C</t>
  </si>
  <si>
    <t>150-250° C</t>
  </si>
  <si>
    <t>hořákový box Primer</t>
  </si>
  <si>
    <t>hořákový box TC</t>
  </si>
  <si>
    <t>± 13⁰C</t>
  </si>
  <si>
    <t>150-250°C</t>
  </si>
  <si>
    <t>mezisuška TC/A</t>
  </si>
  <si>
    <t>mezisuška TC/B</t>
  </si>
  <si>
    <t>hořák pro stříkací kabiny Primer</t>
  </si>
  <si>
    <t>110° C</t>
  </si>
  <si>
    <r>
      <t xml:space="preserve">100° </t>
    </r>
    <r>
      <rPr>
        <sz val="11"/>
        <color theme="1"/>
        <rFont val="Calibri"/>
        <family val="2"/>
        <charset val="238"/>
        <scheme val="minor"/>
      </rPr>
      <t>C</t>
    </r>
  </si>
  <si>
    <t>hořák pro stříkací kabiny TC/A</t>
  </si>
  <si>
    <t>80° C</t>
  </si>
  <si>
    <t>120° C</t>
  </si>
  <si>
    <t>hořák pro stříkací kabiny TC/B</t>
  </si>
  <si>
    <t>hořák AHU A1</t>
  </si>
  <si>
    <t>± 12⁰C</t>
  </si>
  <si>
    <t>30-110 ºC</t>
  </si>
  <si>
    <t>hořák AHU A2</t>
  </si>
  <si>
    <t>hořák AHU A3</t>
  </si>
  <si>
    <t>hořák AHU B1</t>
  </si>
  <si>
    <t>hořák AHU B2</t>
  </si>
  <si>
    <t>alkohol tester + drogy</t>
  </si>
  <si>
    <t>0,14-1,4mg/l</t>
  </si>
  <si>
    <t>váha závěsná</t>
  </si>
  <si>
    <r>
      <rPr>
        <sz val="10"/>
        <rFont val="Calibri"/>
        <family val="2"/>
      </rPr>
      <t>±</t>
    </r>
    <r>
      <rPr>
        <sz val="11"/>
        <color theme="1"/>
        <rFont val="Calibri"/>
        <family val="2"/>
        <charset val="238"/>
        <scheme val="minor"/>
      </rPr>
      <t>60g</t>
    </r>
  </si>
  <si>
    <t>20kg</t>
  </si>
  <si>
    <t>0,01kg</t>
  </si>
  <si>
    <r>
      <rPr>
        <sz val="10"/>
        <rFont val="Calibri"/>
        <family val="2"/>
      </rPr>
      <t>±</t>
    </r>
    <r>
      <rPr>
        <sz val="11"/>
        <color theme="1"/>
        <rFont val="Calibri"/>
        <family val="2"/>
        <charset val="238"/>
        <scheme val="minor"/>
      </rPr>
      <t>100g</t>
    </r>
  </si>
  <si>
    <t>50kg</t>
  </si>
  <si>
    <t>0,02kg</t>
  </si>
  <si>
    <t>±5g</t>
  </si>
  <si>
    <t>6 kg</t>
  </si>
  <si>
    <t>0,2g</t>
  </si>
  <si>
    <t>měřič spalin</t>
  </si>
  <si>
    <t>dle ing</t>
  </si>
  <si>
    <t>6/15kg</t>
  </si>
  <si>
    <t>50g</t>
  </si>
  <si>
    <t>150 kg</t>
  </si>
  <si>
    <t>teploměr - digitální</t>
  </si>
  <si>
    <t>0-150˚C</t>
  </si>
  <si>
    <t>0,1˚C</t>
  </si>
  <si>
    <t xml:space="preserve">váha                 </t>
  </si>
  <si>
    <t>2200g</t>
  </si>
  <si>
    <t>50 g / 100 g</t>
  </si>
  <si>
    <t>100 kg /150 kg</t>
  </si>
  <si>
    <t>0,02kg / 0,05 kg</t>
  </si>
  <si>
    <t>teploměr ( bezdrátová meteostanice )</t>
  </si>
  <si>
    <t>(-30˚ C  - +60˚ C)</t>
  </si>
  <si>
    <t>± 0,5 %</t>
  </si>
  <si>
    <t>váha můstková</t>
  </si>
  <si>
    <r>
      <rPr>
        <sz val="10"/>
        <rFont val="Arial"/>
        <family val="2"/>
      </rPr>
      <t>200</t>
    </r>
    <r>
      <rPr>
        <sz val="11"/>
        <color theme="1"/>
        <rFont val="Calibri"/>
        <family val="2"/>
        <charset val="238"/>
        <scheme val="minor"/>
      </rPr>
      <t>g</t>
    </r>
  </si>
  <si>
    <t>300 kg</t>
  </si>
  <si>
    <t>přenosný měřák teploty a vlhkosti Comet</t>
  </si>
  <si>
    <t>0,5°C /  3% RH</t>
  </si>
  <si>
    <t xml:space="preserve">teploměr se sondou </t>
  </si>
  <si>
    <t>0,5°C /  11% RH</t>
  </si>
  <si>
    <t>měřák na řemenu</t>
  </si>
  <si>
    <t xml:space="preserve">5kH </t>
  </si>
  <si>
    <t>1/100s</t>
  </si>
  <si>
    <t>pHmetr</t>
  </si>
  <si>
    <t>± 0,3mV / 1mV  / 1% pH</t>
  </si>
  <si>
    <t>± 0,3mV / 1mV</t>
  </si>
  <si>
    <t>testr brzdové kapaliny</t>
  </si>
  <si>
    <r>
      <t>130</t>
    </r>
    <r>
      <rPr>
        <sz val="10"/>
        <rFont val="Arial"/>
        <family val="2"/>
      </rPr>
      <t>˚-260</t>
    </r>
    <r>
      <rPr>
        <sz val="10"/>
        <rFont val="Calibri"/>
        <family val="2"/>
      </rPr>
      <t>°</t>
    </r>
    <r>
      <rPr>
        <sz val="11"/>
        <color theme="1"/>
        <rFont val="Calibri"/>
        <family val="2"/>
        <charset val="238"/>
        <scheme val="minor"/>
      </rPr>
      <t>C</t>
    </r>
  </si>
  <si>
    <r>
      <t>0</t>
    </r>
    <r>
      <rPr>
        <sz val="10"/>
        <rFont val="Arial"/>
        <family val="2"/>
      </rPr>
      <t>˚-10</t>
    </r>
    <r>
      <rPr>
        <sz val="10"/>
        <rFont val="Calibri"/>
        <family val="2"/>
      </rPr>
      <t>°</t>
    </r>
    <r>
      <rPr>
        <sz val="11"/>
        <color theme="1"/>
        <rFont val="Calibri"/>
        <family val="2"/>
        <charset val="238"/>
        <scheme val="minor"/>
      </rPr>
      <t>C</t>
    </r>
  </si>
  <si>
    <t>svinovací metr</t>
  </si>
  <si>
    <t>5m</t>
  </si>
  <si>
    <r>
      <rPr>
        <sz val="10"/>
        <rFont val="Calibri"/>
        <family val="2"/>
      </rPr>
      <t>±</t>
    </r>
    <r>
      <rPr>
        <sz val="11"/>
        <color theme="1"/>
        <rFont val="Calibri"/>
        <family val="2"/>
        <charset val="238"/>
        <scheme val="minor"/>
      </rPr>
      <t>0,1mm</t>
    </r>
  </si>
  <si>
    <t>snímač proudu AC / DC + 2x kleště</t>
  </si>
  <si>
    <t>kalibraci domlouvat před odstávkou, testy. Nezapomenout poslat i s 2x nůžky</t>
  </si>
  <si>
    <t>dle tolerancí v původním kalibračním listu od výrobce.</t>
  </si>
  <si>
    <t>sensor k snímačiproudu AC / DC (analyzéru)</t>
  </si>
  <si>
    <t>C1</t>
  </si>
  <si>
    <t>neznámá</t>
  </si>
  <si>
    <t>tolerance změněna na 11% viz email z 19.8.2024</t>
  </si>
  <si>
    <t>zařízení pro zkoušky těsnosti paliv.systému</t>
  </si>
  <si>
    <t>čeká na vyjádření ING - tolerance</t>
  </si>
  <si>
    <t>0,02 L/min;1,0 mA</t>
  </si>
  <si>
    <r>
      <t>0,2</t>
    </r>
    <r>
      <rPr>
        <sz val="10"/>
        <rFont val="Calibri"/>
        <family val="2"/>
      </rPr>
      <t>÷</t>
    </r>
    <r>
      <rPr>
        <sz val="11"/>
        <color theme="1"/>
        <rFont val="Calibri"/>
        <family val="2"/>
        <charset val="238"/>
        <scheme val="minor"/>
      </rPr>
      <t>10 L/min;4÷20 mA</t>
    </r>
  </si>
  <si>
    <t>±0,1mm</t>
  </si>
  <si>
    <t>8mm</t>
  </si>
  <si>
    <t>vodováha digitální se sklonoměrem</t>
  </si>
  <si>
    <r>
      <rPr>
        <sz val="10"/>
        <rFont val="Calibri"/>
        <family val="2"/>
      </rPr>
      <t>±</t>
    </r>
    <r>
      <rPr>
        <sz val="11"/>
        <color theme="1"/>
        <rFont val="Calibri"/>
        <family val="2"/>
        <charset val="238"/>
        <scheme val="minor"/>
      </rPr>
      <t>2mm/m</t>
    </r>
  </si>
  <si>
    <t xml:space="preserve">  -90 až +90</t>
  </si>
  <si>
    <t xml:space="preserve">  0,5mm</t>
  </si>
  <si>
    <t>stanovené měřidlo</t>
  </si>
  <si>
    <t>±2%</t>
  </si>
  <si>
    <t>0,5kg</t>
  </si>
  <si>
    <t>tlakoměr</t>
  </si>
  <si>
    <r>
      <rPr>
        <sz val="10"/>
        <rFont val="Calibri"/>
        <family val="2"/>
      </rPr>
      <t>±</t>
    </r>
    <r>
      <rPr>
        <sz val="10"/>
        <rFont val="Arial CE"/>
        <family val="2"/>
        <charset val="238"/>
      </rPr>
      <t>2%</t>
    </r>
  </si>
  <si>
    <t>teploměr -digitální</t>
  </si>
  <si>
    <t>3/6kg</t>
  </si>
  <si>
    <t>±0,2g</t>
  </si>
  <si>
    <t>0-6000g</t>
  </si>
  <si>
    <t>1g/2g</t>
  </si>
  <si>
    <t>±100g</t>
  </si>
  <si>
    <t>6-15kg</t>
  </si>
  <si>
    <t>0,005kg</t>
  </si>
  <si>
    <t>100N</t>
  </si>
  <si>
    <t>0,05N</t>
  </si>
  <si>
    <t>±0,05s</t>
  </si>
  <si>
    <t>pHmetr + floridová elektroda</t>
  </si>
  <si>
    <t>± 0,5mV / 1mV  / 1% pH</t>
  </si>
  <si>
    <t>± 0,5mV / 1mV</t>
  </si>
  <si>
    <t>měřič teploty přenosný</t>
  </si>
  <si>
    <r>
      <t>50-250</t>
    </r>
    <r>
      <rPr>
        <sz val="10"/>
        <rFont val="Calibri"/>
        <family val="2"/>
        <charset val="238"/>
      </rPr>
      <t>°</t>
    </r>
    <r>
      <rPr>
        <sz val="11"/>
        <color theme="1"/>
        <rFont val="Calibri"/>
        <family val="2"/>
        <charset val="238"/>
        <scheme val="minor"/>
      </rPr>
      <t>C</t>
    </r>
  </si>
  <si>
    <t xml:space="preserve">viz kalibrační certifikát   </t>
  </si>
  <si>
    <t>105˚C / 140 ˚C</t>
  </si>
  <si>
    <r>
      <rPr>
        <sz val="10"/>
        <rFont val="Calibri"/>
        <family val="2"/>
      </rPr>
      <t>±</t>
    </r>
    <r>
      <rPr>
        <sz val="11"/>
        <color theme="1"/>
        <rFont val="Calibri"/>
        <family val="2"/>
        <charset val="238"/>
        <scheme val="minor"/>
      </rPr>
      <t xml:space="preserve">1 </t>
    </r>
    <r>
      <rPr>
        <sz val="10"/>
        <rFont val="Arial"/>
        <family val="2"/>
      </rPr>
      <t>˚</t>
    </r>
    <r>
      <rPr>
        <sz val="11"/>
        <color theme="1"/>
        <rFont val="Calibri"/>
        <family val="2"/>
        <charset val="238"/>
        <scheme val="minor"/>
      </rPr>
      <t>C</t>
    </r>
  </si>
  <si>
    <t>100g</t>
  </si>
  <si>
    <t>420g</t>
  </si>
  <si>
    <t>detektor plynu ( přenosný )</t>
  </si>
  <si>
    <r>
      <rPr>
        <sz val="10"/>
        <rFont val="Calibri"/>
        <family val="2"/>
      </rPr>
      <t>±3</t>
    </r>
    <r>
      <rPr>
        <sz val="11"/>
        <color theme="1"/>
        <rFont val="Calibri"/>
        <family val="2"/>
        <charset val="238"/>
        <scheme val="minor"/>
      </rPr>
      <t>% LEL</t>
    </r>
  </si>
  <si>
    <t>CH4, O2, CO, H2O</t>
  </si>
  <si>
    <t>0,1kg</t>
  </si>
  <si>
    <t>do 100 kg</t>
  </si>
  <si>
    <t>anemometr vrtulkový</t>
  </si>
  <si>
    <t>0,4 m/s;1,0°C</t>
  </si>
  <si>
    <t>0,3 - 35 m/s   od 20 -70°</t>
  </si>
  <si>
    <t xml:space="preserve">sklonoměr digitální </t>
  </si>
  <si>
    <t>0,2°</t>
  </si>
  <si>
    <r>
      <t>360</t>
    </r>
    <r>
      <rPr>
        <sz val="10"/>
        <rFont val="Arial"/>
        <family val="2"/>
      </rPr>
      <t>˚</t>
    </r>
  </si>
  <si>
    <t>0,1°</t>
  </si>
  <si>
    <t>0,5 m/s;0,5°C</t>
  </si>
  <si>
    <t xml:space="preserve"> -40-+150˚C ; ±0,32m/s</t>
  </si>
  <si>
    <t>tester pro měření kroutícího momentu</t>
  </si>
  <si>
    <t>posílat s přívodním kabelem</t>
  </si>
  <si>
    <t>± 1,5%</t>
  </si>
  <si>
    <t>0-200Nm</t>
  </si>
  <si>
    <t>závěsná váha</t>
  </si>
  <si>
    <t>0-20kg</t>
  </si>
  <si>
    <r>
      <rPr>
        <sz val="10"/>
        <rFont val="Calibri"/>
        <family val="2"/>
      </rPr>
      <t>±100</t>
    </r>
    <r>
      <rPr>
        <sz val="11"/>
        <color theme="1"/>
        <rFont val="Calibri"/>
        <family val="2"/>
        <charset val="238"/>
        <scheme val="minor"/>
      </rPr>
      <t>g</t>
    </r>
  </si>
  <si>
    <t>0,02g</t>
  </si>
  <si>
    <t>váha na uretan</t>
  </si>
  <si>
    <t>0-5kg</t>
  </si>
  <si>
    <t>5-500N</t>
  </si>
  <si>
    <t>0,2N</t>
  </si>
  <si>
    <t>durometr</t>
  </si>
  <si>
    <t xml:space="preserve">0,5mm </t>
  </si>
  <si>
    <t>0-100ShC</t>
  </si>
  <si>
    <t>Pitotova trubice s teploměrem</t>
  </si>
  <si>
    <t>ᴓ10%</t>
  </si>
  <si>
    <t>1 - 30m/s</t>
  </si>
  <si>
    <t xml:space="preserve">měřidlo elektrostatického pole </t>
  </si>
  <si>
    <t xml:space="preserve">C </t>
  </si>
  <si>
    <t>viz kalibrční list</t>
  </si>
  <si>
    <t>3kV - 30kV</t>
  </si>
  <si>
    <t>analytické váhy</t>
  </si>
  <si>
    <r>
      <rPr>
        <sz val="10"/>
        <color indexed="17"/>
        <rFont val="Calibri"/>
        <family val="2"/>
      </rPr>
      <t>±</t>
    </r>
    <r>
      <rPr>
        <sz val="10"/>
        <color indexed="17"/>
        <rFont val="Arial CE"/>
        <charset val="238"/>
      </rPr>
      <t>0,5mg</t>
    </r>
  </si>
  <si>
    <t>120g</t>
  </si>
  <si>
    <t>0,0001g</t>
  </si>
  <si>
    <t>pH metr</t>
  </si>
  <si>
    <t>± 0,3mV / 1mV / 0,05pH</t>
  </si>
  <si>
    <t>± 1200 / 2500mV</t>
  </si>
  <si>
    <r>
      <rPr>
        <sz val="10"/>
        <rFont val="Calibri"/>
        <family val="2"/>
      </rPr>
      <t>±</t>
    </r>
    <r>
      <rPr>
        <sz val="11"/>
        <color theme="1"/>
        <rFont val="Calibri"/>
        <family val="2"/>
        <charset val="238"/>
        <scheme val="minor"/>
      </rPr>
      <t xml:space="preserve">5 </t>
    </r>
    <r>
      <rPr>
        <sz val="10"/>
        <rFont val="Arial"/>
        <family val="2"/>
      </rPr>
      <t>˚</t>
    </r>
    <r>
      <rPr>
        <sz val="11"/>
        <color theme="1"/>
        <rFont val="Calibri"/>
        <family val="2"/>
        <charset val="238"/>
        <scheme val="minor"/>
      </rPr>
      <t>C</t>
    </r>
  </si>
  <si>
    <t>80˚C / 105˚C / 140 ˚C</t>
  </si>
  <si>
    <r>
      <rPr>
        <sz val="10"/>
        <rFont val="Arial"/>
        <family val="2"/>
      </rPr>
      <t>±12</t>
    </r>
    <r>
      <rPr>
        <sz val="11"/>
        <color theme="1"/>
        <rFont val="Calibri"/>
        <family val="2"/>
        <charset val="238"/>
        <scheme val="minor"/>
      </rPr>
      <t>°C</t>
    </r>
  </si>
  <si>
    <t>150-300°C</t>
  </si>
  <si>
    <r>
      <rPr>
        <sz val="10"/>
        <rFont val="Arial"/>
        <family val="2"/>
      </rPr>
      <t>1</t>
    </r>
    <r>
      <rPr>
        <sz val="10"/>
        <rFont val="Calibri"/>
        <family val="2"/>
      </rPr>
      <t>°</t>
    </r>
    <r>
      <rPr>
        <sz val="11"/>
        <color theme="1"/>
        <rFont val="Calibri"/>
        <family val="2"/>
        <charset val="238"/>
        <scheme val="minor"/>
      </rPr>
      <t>C</t>
    </r>
  </si>
  <si>
    <r>
      <t>1</t>
    </r>
    <r>
      <rPr>
        <sz val="10"/>
        <rFont val="Calibri"/>
        <family val="2"/>
      </rPr>
      <t>°</t>
    </r>
    <r>
      <rPr>
        <sz val="11"/>
        <color theme="1"/>
        <rFont val="Calibri"/>
        <family val="2"/>
        <charset val="238"/>
        <scheme val="minor"/>
      </rPr>
      <t>C / 1m/s</t>
    </r>
  </si>
  <si>
    <r>
      <t>(-20..+70)</t>
    </r>
    <r>
      <rPr>
        <sz val="10"/>
        <rFont val="Calibri"/>
        <family val="2"/>
      </rPr>
      <t>°</t>
    </r>
    <r>
      <rPr>
        <sz val="11"/>
        <color theme="1"/>
        <rFont val="Calibri"/>
        <family val="2"/>
        <charset val="238"/>
        <scheme val="minor"/>
      </rPr>
      <t>C (0,1…15)m/s</t>
    </r>
  </si>
  <si>
    <r>
      <rPr>
        <sz val="10"/>
        <rFont val="Calibri"/>
        <family val="2"/>
      </rPr>
      <t>±</t>
    </r>
    <r>
      <rPr>
        <sz val="11"/>
        <color theme="1"/>
        <rFont val="Calibri"/>
        <family val="2"/>
        <charset val="238"/>
        <scheme val="minor"/>
      </rPr>
      <t xml:space="preserve">0,1m/s </t>
    </r>
    <r>
      <rPr>
        <sz val="10"/>
        <rFont val="Calibri"/>
        <family val="2"/>
      </rPr>
      <t>±</t>
    </r>
    <r>
      <rPr>
        <sz val="11"/>
        <color theme="1"/>
        <rFont val="Calibri"/>
        <family val="2"/>
        <charset val="238"/>
        <scheme val="minor"/>
      </rPr>
      <t>0,5</t>
    </r>
    <r>
      <rPr>
        <sz val="10"/>
        <rFont val="Calibri"/>
        <family val="2"/>
      </rPr>
      <t>°</t>
    </r>
    <r>
      <rPr>
        <sz val="11"/>
        <color theme="1"/>
        <rFont val="Calibri"/>
        <family val="2"/>
        <charset val="238"/>
        <scheme val="minor"/>
      </rPr>
      <t>C</t>
    </r>
  </si>
  <si>
    <t>teploměr k měření teploty obalů</t>
  </si>
  <si>
    <r>
      <rPr>
        <sz val="10"/>
        <rFont val="Calibri"/>
        <family val="2"/>
      </rPr>
      <t>±5°</t>
    </r>
    <r>
      <rPr>
        <sz val="11"/>
        <color theme="1"/>
        <rFont val="Calibri"/>
        <family val="2"/>
        <charset val="238"/>
        <scheme val="minor"/>
      </rPr>
      <t>C</t>
    </r>
  </si>
  <si>
    <r>
      <t>(-50</t>
    </r>
    <r>
      <rPr>
        <sz val="10"/>
        <rFont val="Calibri"/>
        <family val="2"/>
      </rPr>
      <t>°</t>
    </r>
    <r>
      <rPr>
        <sz val="11"/>
        <color theme="1"/>
        <rFont val="Calibri"/>
        <family val="2"/>
        <charset val="238"/>
        <scheme val="minor"/>
      </rPr>
      <t>C - 350</t>
    </r>
    <r>
      <rPr>
        <sz val="10"/>
        <rFont val="Calibri"/>
        <family val="2"/>
      </rPr>
      <t>°</t>
    </r>
    <r>
      <rPr>
        <sz val="11"/>
        <color theme="1"/>
        <rFont val="Calibri"/>
        <family val="2"/>
        <charset val="238"/>
        <scheme val="minor"/>
      </rPr>
      <t>C)</t>
    </r>
  </si>
  <si>
    <r>
      <rPr>
        <sz val="10"/>
        <rFont val="Calibri"/>
        <family val="2"/>
      </rPr>
      <t>±</t>
    </r>
    <r>
      <rPr>
        <sz val="11"/>
        <color theme="1"/>
        <rFont val="Calibri"/>
        <family val="2"/>
        <charset val="238"/>
        <scheme val="minor"/>
      </rPr>
      <t>1</t>
    </r>
    <r>
      <rPr>
        <sz val="10"/>
        <rFont val="Calibri"/>
        <family val="2"/>
      </rPr>
      <t>°</t>
    </r>
    <r>
      <rPr>
        <sz val="11"/>
        <color theme="1"/>
        <rFont val="Calibri"/>
        <family val="2"/>
        <charset val="238"/>
        <scheme val="minor"/>
      </rPr>
      <t>C</t>
    </r>
  </si>
  <si>
    <t>10g</t>
  </si>
  <si>
    <t>2g-1000g</t>
  </si>
  <si>
    <t xml:space="preserve">±3g - ±6g </t>
  </si>
  <si>
    <t>trhačka ( INSTRON )</t>
  </si>
  <si>
    <t>Kalibrace 29.11.2024</t>
  </si>
  <si>
    <t>viz kalibrační list - vyjádření o plnění specifikace</t>
  </si>
  <si>
    <t>0-100KN</t>
  </si>
  <si>
    <t>1KN</t>
  </si>
  <si>
    <t>0.01mm</t>
  </si>
  <si>
    <t>RTO</t>
  </si>
  <si>
    <r>
      <t>10</t>
    </r>
    <r>
      <rPr>
        <sz val="10"/>
        <rFont val="Arial"/>
        <family val="2"/>
      </rPr>
      <t>˚</t>
    </r>
    <r>
      <rPr>
        <sz val="11"/>
        <color theme="1"/>
        <rFont val="Calibri"/>
        <family val="2"/>
        <charset val="238"/>
        <scheme val="minor"/>
      </rPr>
      <t>C</t>
    </r>
  </si>
  <si>
    <t>800˚C</t>
  </si>
  <si>
    <t>luxmetr</t>
  </si>
  <si>
    <t>0-1000 lx</t>
  </si>
  <si>
    <t>1digit</t>
  </si>
  <si>
    <t>tester momentových klíčů</t>
  </si>
  <si>
    <t>Umístěno mezi CH a T vedle chobotnice</t>
  </si>
  <si>
    <t>50-500Nm</t>
  </si>
  <si>
    <t>0035A</t>
  </si>
  <si>
    <t>10kg</t>
  </si>
  <si>
    <t>0035B</t>
  </si>
  <si>
    <t>0035C</t>
  </si>
  <si>
    <t>0035D</t>
  </si>
  <si>
    <t>0035E</t>
  </si>
  <si>
    <t>0035F</t>
  </si>
  <si>
    <t>0035G</t>
  </si>
  <si>
    <t>0035H</t>
  </si>
  <si>
    <t>0,005 pH</t>
  </si>
  <si>
    <t>0-14pH</t>
  </si>
  <si>
    <t>0,1N</t>
  </si>
  <si>
    <t>platnost certifikátu na 10 let do 1.12.2029, ověření dle legislatiy ČR 2 roky</t>
  </si>
  <si>
    <t>oprava 17.4.2023</t>
  </si>
  <si>
    <t xml:space="preserve">po opravě </t>
  </si>
  <si>
    <t>4-10kg</t>
  </si>
  <si>
    <t>INFLACE</t>
  </si>
  <si>
    <t xml:space="preserve">Pro fiskální rok 1.4.2025-31.3.2026 kalkulace o navýšeno o inflaci u ČMI </t>
  </si>
  <si>
    <t xml:space="preserve">Poslední kalibrace   </t>
  </si>
  <si>
    <t>2025
temporary</t>
  </si>
  <si>
    <t>2025 final</t>
  </si>
  <si>
    <t>ve třech teplotách</t>
  </si>
  <si>
    <t>ve dvou teplotách</t>
  </si>
  <si>
    <t>v jedné teplotě</t>
  </si>
  <si>
    <t>sensor k snímači proudu AC / DC (analyzéru)</t>
  </si>
</sst>
</file>

<file path=xl/styles.xml><?xml version="1.0" encoding="utf-8"?>
<styleSheet xmlns="http://schemas.openxmlformats.org/spreadsheetml/2006/main">
  <numFmts count="6">
    <numFmt numFmtId="164" formatCode="m/d/yy"/>
    <numFmt numFmtId="165" formatCode="0000"/>
    <numFmt numFmtId="166" formatCode="00"/>
    <numFmt numFmtId="167" formatCode="dd/mm/yy"/>
    <numFmt numFmtId="168" formatCode="0.0%"/>
    <numFmt numFmtId="169" formatCode="0.000%"/>
  </numFmts>
  <fonts count="41">
    <font>
      <sz val="11"/>
      <color theme="1"/>
      <name val="Calibri"/>
      <family val="2"/>
      <charset val="238"/>
      <scheme val="minor"/>
    </font>
    <font>
      <sz val="10"/>
      <name val="Arial CE"/>
      <charset val="238"/>
    </font>
    <font>
      <sz val="10"/>
      <name val="Arial CE"/>
      <family val="2"/>
      <charset val="238"/>
    </font>
    <font>
      <sz val="9"/>
      <name val="Arial CE"/>
      <family val="2"/>
      <charset val="238"/>
    </font>
    <font>
      <b/>
      <i/>
      <sz val="14"/>
      <color indexed="10"/>
      <name val="Arial CE"/>
      <charset val="238"/>
    </font>
    <font>
      <i/>
      <sz val="10"/>
      <name val="Arial CE"/>
      <family val="2"/>
      <charset val="238"/>
    </font>
    <font>
      <sz val="10"/>
      <color indexed="8"/>
      <name val="Arial"/>
      <family val="2"/>
    </font>
    <font>
      <i/>
      <sz val="10"/>
      <name val="Arial CE"/>
      <charset val="238"/>
    </font>
    <font>
      <b/>
      <sz val="10"/>
      <color indexed="60"/>
      <name val="Arial"/>
      <family val="2"/>
    </font>
    <font>
      <b/>
      <sz val="12"/>
      <color indexed="60"/>
      <name val="Arial"/>
      <family val="2"/>
    </font>
    <font>
      <sz val="10"/>
      <name val="Arial"/>
      <family val="2"/>
    </font>
    <font>
      <sz val="10"/>
      <color indexed="10"/>
      <name val="Arial"/>
      <family val="2"/>
      <charset val="238"/>
    </font>
    <font>
      <sz val="10"/>
      <name val="Arial"/>
      <family val="2"/>
      <charset val="238"/>
    </font>
    <font>
      <sz val="10"/>
      <color indexed="10"/>
      <name val="Arial CE"/>
      <charset val="238"/>
    </font>
    <font>
      <sz val="10"/>
      <name val="Calibri"/>
      <family val="2"/>
    </font>
    <font>
      <sz val="10"/>
      <color indexed="10"/>
      <name val="Arial CE"/>
      <family val="2"/>
      <charset val="238"/>
    </font>
    <font>
      <sz val="10"/>
      <name val="Calibri"/>
      <family val="2"/>
      <charset val="238"/>
    </font>
    <font>
      <b/>
      <sz val="10"/>
      <name val="Arial CE"/>
      <charset val="238"/>
    </font>
    <font>
      <b/>
      <sz val="10"/>
      <color indexed="10"/>
      <name val="Arial"/>
      <family val="2"/>
    </font>
    <font>
      <sz val="10"/>
      <color indexed="53"/>
      <name val="Arial"/>
      <family val="2"/>
    </font>
    <font>
      <b/>
      <sz val="10"/>
      <color indexed="10"/>
      <name val="Arial"/>
      <family val="2"/>
    </font>
    <font>
      <sz val="10"/>
      <color indexed="9"/>
      <name val="Arial"/>
      <family val="2"/>
    </font>
    <font>
      <b/>
      <sz val="10"/>
      <name val="Arial"/>
      <family val="2"/>
    </font>
    <font>
      <sz val="10"/>
      <color indexed="10"/>
      <name val="Arial"/>
      <family val="2"/>
    </font>
    <font>
      <b/>
      <sz val="10"/>
      <color indexed="53"/>
      <name val="Arial"/>
      <family val="2"/>
    </font>
    <font>
      <sz val="10"/>
      <color indexed="8"/>
      <name val="Arial CE"/>
      <charset val="238"/>
    </font>
    <font>
      <sz val="12"/>
      <name val="Calibri"/>
      <family val="2"/>
    </font>
    <font>
      <sz val="10"/>
      <color indexed="17"/>
      <name val="Arial CE"/>
      <charset val="238"/>
    </font>
    <font>
      <sz val="10"/>
      <color indexed="17"/>
      <name val="Calibri"/>
      <family val="2"/>
    </font>
    <font>
      <sz val="10"/>
      <color indexed="21"/>
      <name val="Arial"/>
      <family val="2"/>
    </font>
    <font>
      <b/>
      <sz val="8"/>
      <color indexed="81"/>
      <name val="Tahoma"/>
      <family val="2"/>
    </font>
    <font>
      <b/>
      <sz val="10"/>
      <color indexed="10"/>
      <name val="Tahoma"/>
      <family val="2"/>
    </font>
    <font>
      <sz val="8"/>
      <color indexed="81"/>
      <name val="Tahoma"/>
      <family val="2"/>
    </font>
    <font>
      <b/>
      <sz val="9"/>
      <color indexed="81"/>
      <name val="Tahoma"/>
      <family val="2"/>
      <charset val="238"/>
    </font>
    <font>
      <sz val="9"/>
      <color indexed="81"/>
      <name val="Tahoma"/>
      <family val="2"/>
      <charset val="238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indexed="62"/>
      <name val="Calibri"/>
      <family val="2"/>
      <charset val="238"/>
    </font>
    <font>
      <b/>
      <sz val="10"/>
      <color indexed="40"/>
      <name val="Arial"/>
      <family val="2"/>
    </font>
    <font>
      <sz val="8"/>
      <name val="Calibri"/>
      <family val="2"/>
      <charset val="238"/>
    </font>
    <font>
      <u/>
      <sz val="11"/>
      <color theme="10"/>
      <name val="Calibri"/>
      <family val="2"/>
      <charset val="238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6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1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40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</cellStyleXfs>
  <cellXfs count="175">
    <xf numFmtId="0" fontId="0" fillId="0" borderId="0" xfId="0"/>
    <xf numFmtId="0" fontId="2" fillId="0" borderId="1" xfId="5" applyFont="1" applyBorder="1" applyAlignment="1">
      <alignment horizontal="center" vertical="center" textRotation="90" wrapText="1"/>
    </xf>
    <xf numFmtId="0" fontId="0" fillId="0" borderId="1" xfId="0" applyBorder="1" applyAlignment="1">
      <alignment horizontal="center" vertical="center" textRotation="90" wrapText="1"/>
    </xf>
    <xf numFmtId="0" fontId="3" fillId="0" borderId="1" xfId="5" applyFont="1" applyBorder="1" applyAlignment="1">
      <alignment horizontal="center" vertical="center" textRotation="90" wrapText="1"/>
    </xf>
    <xf numFmtId="165" fontId="10" fillId="0" borderId="2" xfId="4" applyNumberFormat="1" applyFont="1" applyBorder="1" applyAlignment="1">
      <alignment horizontal="left"/>
    </xf>
    <xf numFmtId="0" fontId="10" fillId="0" borderId="2" xfId="0" applyFont="1" applyBorder="1" applyAlignment="1">
      <alignment horizontal="left"/>
    </xf>
    <xf numFmtId="0" fontId="10" fillId="0" borderId="2" xfId="4" applyFont="1" applyBorder="1" applyAlignment="1">
      <alignment horizontal="left"/>
    </xf>
    <xf numFmtId="0" fontId="40" fillId="0" borderId="1" xfId="1" applyBorder="1" applyAlignment="1">
      <alignment horizontal="left"/>
    </xf>
    <xf numFmtId="165" fontId="10" fillId="0" borderId="1" xfId="4" applyNumberFormat="1" applyFont="1" applyBorder="1" applyAlignment="1">
      <alignment horizontal="left"/>
    </xf>
    <xf numFmtId="0" fontId="10" fillId="0" borderId="1" xfId="0" applyFont="1" applyBorder="1" applyAlignment="1">
      <alignment horizontal="left"/>
    </xf>
    <xf numFmtId="0" fontId="10" fillId="0" borderId="1" xfId="4" applyFont="1" applyBorder="1" applyAlignment="1">
      <alignment horizontal="left"/>
    </xf>
    <xf numFmtId="0" fontId="2" fillId="0" borderId="1" xfId="4" applyFont="1" applyBorder="1" applyAlignment="1">
      <alignment horizontal="left"/>
    </xf>
    <xf numFmtId="0" fontId="13" fillId="0" borderId="1" xfId="0" applyFont="1" applyBorder="1" applyAlignment="1">
      <alignment horizontal="left"/>
    </xf>
    <xf numFmtId="0" fontId="1" fillId="0" borderId="1" xfId="4" applyBorder="1" applyAlignment="1">
      <alignment horizontal="center"/>
    </xf>
    <xf numFmtId="17" fontId="1" fillId="0" borderId="1" xfId="2" applyNumberFormat="1" applyBorder="1" applyAlignment="1">
      <alignment horizontal="center"/>
    </xf>
    <xf numFmtId="166" fontId="1" fillId="0" borderId="1" xfId="2" applyNumberForma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2" borderId="1" xfId="4" applyFont="1" applyFill="1" applyBorder="1" applyAlignment="1">
      <alignment horizontal="left"/>
    </xf>
    <xf numFmtId="0" fontId="1" fillId="2" borderId="1" xfId="4" applyFill="1" applyBorder="1" applyAlignment="1">
      <alignment horizontal="left"/>
    </xf>
    <xf numFmtId="0" fontId="1" fillId="0" borderId="1" xfId="4" applyBorder="1" applyAlignment="1">
      <alignment horizontal="left"/>
    </xf>
    <xf numFmtId="14" fontId="11" fillId="0" borderId="1" xfId="4" applyNumberFormat="1" applyFont="1" applyBorder="1" applyAlignment="1">
      <alignment horizontal="left"/>
    </xf>
    <xf numFmtId="0" fontId="0" fillId="0" borderId="1" xfId="0" applyBorder="1" applyAlignment="1">
      <alignment horizontal="center"/>
    </xf>
    <xf numFmtId="10" fontId="1" fillId="2" borderId="1" xfId="4" applyNumberFormat="1" applyFill="1" applyBorder="1" applyAlignment="1">
      <alignment horizontal="left"/>
    </xf>
    <xf numFmtId="0" fontId="13" fillId="0" borderId="1" xfId="4" applyFont="1" applyBorder="1" applyAlignment="1">
      <alignment horizontal="left"/>
    </xf>
    <xf numFmtId="0" fontId="12" fillId="0" borderId="1" xfId="4" applyFont="1" applyBorder="1" applyAlignment="1">
      <alignment horizontal="center"/>
    </xf>
    <xf numFmtId="17" fontId="0" fillId="0" borderId="1" xfId="2" applyNumberFormat="1" applyFont="1" applyBorder="1" applyAlignment="1">
      <alignment horizontal="center"/>
    </xf>
    <xf numFmtId="0" fontId="10" fillId="0" borderId="1" xfId="2" applyFont="1" applyBorder="1" applyAlignment="1">
      <alignment horizontal="left" wrapText="1"/>
    </xf>
    <xf numFmtId="0" fontId="1" fillId="0" borderId="1" xfId="2" applyBorder="1" applyAlignment="1">
      <alignment horizontal="center"/>
    </xf>
    <xf numFmtId="0" fontId="0" fillId="2" borderId="1" xfId="3" applyFont="1" applyFill="1" applyBorder="1" applyAlignment="1">
      <alignment horizontal="left"/>
    </xf>
    <xf numFmtId="0" fontId="0" fillId="2" borderId="1" xfId="0" applyFill="1" applyBorder="1" applyAlignment="1">
      <alignment horizontal="left"/>
    </xf>
    <xf numFmtId="0" fontId="11" fillId="0" borderId="1" xfId="0" applyFont="1" applyBorder="1" applyAlignment="1">
      <alignment horizontal="left"/>
    </xf>
    <xf numFmtId="0" fontId="2" fillId="2" borderId="1" xfId="4" applyFont="1" applyFill="1" applyBorder="1" applyAlignment="1">
      <alignment horizontal="left"/>
    </xf>
    <xf numFmtId="9" fontId="1" fillId="2" borderId="1" xfId="4" applyNumberFormat="1" applyFill="1" applyBorder="1" applyAlignment="1">
      <alignment horizontal="left"/>
    </xf>
    <xf numFmtId="10" fontId="12" fillId="2" borderId="1" xfId="4" applyNumberFormat="1" applyFont="1" applyFill="1" applyBorder="1" applyAlignment="1">
      <alignment horizontal="left"/>
    </xf>
    <xf numFmtId="9" fontId="12" fillId="2" borderId="1" xfId="4" applyNumberFormat="1" applyFont="1" applyFill="1" applyBorder="1" applyAlignment="1">
      <alignment horizontal="left"/>
    </xf>
    <xf numFmtId="0" fontId="17" fillId="2" borderId="1" xfId="4" applyFont="1" applyFill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0" fontId="10" fillId="0" borderId="1" xfId="3" applyFont="1" applyBorder="1" applyAlignment="1">
      <alignment horizontal="left"/>
    </xf>
    <xf numFmtId="0" fontId="15" fillId="0" borderId="1" xfId="0" applyFont="1" applyBorder="1" applyAlignment="1">
      <alignment horizontal="left"/>
    </xf>
    <xf numFmtId="165" fontId="2" fillId="0" borderId="1" xfId="3" applyNumberFormat="1" applyFont="1" applyBorder="1" applyAlignment="1">
      <alignment horizontal="center"/>
    </xf>
    <xf numFmtId="10" fontId="2" fillId="2" borderId="1" xfId="3" applyNumberFormat="1" applyFont="1" applyFill="1" applyBorder="1" applyAlignment="1">
      <alignment horizontal="left"/>
    </xf>
    <xf numFmtId="0" fontId="1" fillId="2" borderId="1" xfId="3" applyFill="1" applyBorder="1" applyAlignment="1">
      <alignment horizontal="left"/>
    </xf>
    <xf numFmtId="0" fontId="2" fillId="2" borderId="1" xfId="3" applyFont="1" applyFill="1" applyBorder="1" applyAlignment="1">
      <alignment horizontal="left"/>
    </xf>
    <xf numFmtId="0" fontId="10" fillId="0" borderId="3" xfId="3" applyFont="1" applyBorder="1" applyAlignment="1">
      <alignment horizontal="left"/>
    </xf>
    <xf numFmtId="0" fontId="12" fillId="2" borderId="1" xfId="6" applyFont="1" applyFill="1" applyBorder="1" applyAlignment="1">
      <alignment horizontal="left"/>
    </xf>
    <xf numFmtId="49" fontId="1" fillId="2" borderId="1" xfId="3" applyNumberFormat="1" applyFill="1" applyBorder="1" applyAlignment="1">
      <alignment horizontal="left"/>
    </xf>
    <xf numFmtId="0" fontId="10" fillId="0" borderId="1" xfId="2" applyFont="1" applyBorder="1" applyAlignment="1">
      <alignment horizontal="left"/>
    </xf>
    <xf numFmtId="0" fontId="18" fillId="0" borderId="1" xfId="6" applyFont="1" applyBorder="1" applyAlignment="1">
      <alignment horizontal="left"/>
    </xf>
    <xf numFmtId="9" fontId="1" fillId="2" borderId="1" xfId="2" applyNumberFormat="1" applyFill="1" applyBorder="1" applyAlignment="1">
      <alignment horizontal="left"/>
    </xf>
    <xf numFmtId="0" fontId="1" fillId="2" borderId="1" xfId="2" applyFill="1" applyBorder="1" applyAlignment="1">
      <alignment horizontal="left"/>
    </xf>
    <xf numFmtId="49" fontId="1" fillId="2" borderId="1" xfId="0" applyNumberFormat="1" applyFont="1" applyFill="1" applyBorder="1" applyAlignment="1">
      <alignment horizontal="left"/>
    </xf>
    <xf numFmtId="165" fontId="10" fillId="0" borderId="1" xfId="0" applyNumberFormat="1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9" fillId="0" borderId="1" xfId="6" applyFont="1" applyBorder="1" applyAlignment="1">
      <alignment horizontal="left"/>
    </xf>
    <xf numFmtId="165" fontId="10" fillId="0" borderId="4" xfId="0" applyNumberFormat="1" applyFont="1" applyBorder="1" applyAlignment="1">
      <alignment horizontal="left"/>
    </xf>
    <xf numFmtId="0" fontId="10" fillId="0" borderId="4" xfId="0" applyFont="1" applyBorder="1" applyAlignment="1">
      <alignment horizontal="left"/>
    </xf>
    <xf numFmtId="10" fontId="1" fillId="2" borderId="1" xfId="0" applyNumberFormat="1" applyFont="1" applyFill="1" applyBorder="1" applyAlignment="1">
      <alignment horizontal="left"/>
    </xf>
    <xf numFmtId="16" fontId="1" fillId="2" borderId="1" xfId="3" applyNumberFormat="1" applyFill="1" applyBorder="1" applyAlignment="1">
      <alignment horizontal="left"/>
    </xf>
    <xf numFmtId="165" fontId="10" fillId="0" borderId="2" xfId="0" applyNumberFormat="1" applyFont="1" applyBorder="1" applyAlignment="1">
      <alignment horizontal="left"/>
    </xf>
    <xf numFmtId="0" fontId="20" fillId="0" borderId="2" xfId="6" applyFont="1" applyBorder="1" applyAlignment="1">
      <alignment horizontal="left"/>
    </xf>
    <xf numFmtId="0" fontId="10" fillId="0" borderId="1" xfId="0" applyFont="1" applyBorder="1" applyAlignment="1">
      <alignment horizontal="center"/>
    </xf>
    <xf numFmtId="9" fontId="1" fillId="2" borderId="1" xfId="0" applyNumberFormat="1" applyFont="1" applyFill="1" applyBorder="1" applyAlignment="1">
      <alignment horizontal="left"/>
    </xf>
    <xf numFmtId="0" fontId="7" fillId="0" borderId="1" xfId="0" applyFont="1" applyBorder="1" applyAlignment="1">
      <alignment horizontal="center"/>
    </xf>
    <xf numFmtId="0" fontId="21" fillId="0" borderId="2" xfId="0" applyFont="1" applyBorder="1" applyAlignment="1">
      <alignment horizontal="left"/>
    </xf>
    <xf numFmtId="9" fontId="2" fillId="2" borderId="1" xfId="3" applyNumberFormat="1" applyFont="1" applyFill="1" applyBorder="1" applyAlignment="1">
      <alignment horizontal="left"/>
    </xf>
    <xf numFmtId="165" fontId="10" fillId="0" borderId="5" xfId="7" applyNumberFormat="1" applyFont="1" applyBorder="1" applyAlignment="1">
      <alignment horizontal="left"/>
    </xf>
    <xf numFmtId="0" fontId="10" fillId="0" borderId="6" xfId="0" applyFont="1" applyBorder="1" applyAlignment="1">
      <alignment horizontal="left"/>
    </xf>
    <xf numFmtId="0" fontId="10" fillId="0" borderId="5" xfId="0" applyFont="1" applyBorder="1" applyAlignment="1">
      <alignment horizontal="left"/>
    </xf>
    <xf numFmtId="165" fontId="10" fillId="0" borderId="1" xfId="7" applyNumberFormat="1" applyFont="1" applyBorder="1" applyAlignment="1">
      <alignment horizontal="left"/>
    </xf>
    <xf numFmtId="0" fontId="12" fillId="2" borderId="1" xfId="7" applyFont="1" applyFill="1" applyBorder="1" applyAlignment="1">
      <alignment horizontal="left"/>
    </xf>
    <xf numFmtId="0" fontId="2" fillId="0" borderId="1" xfId="3" applyFont="1" applyBorder="1" applyAlignment="1">
      <alignment horizontal="center"/>
    </xf>
    <xf numFmtId="0" fontId="0" fillId="2" borderId="1" xfId="2" applyFont="1" applyFill="1" applyBorder="1" applyAlignment="1">
      <alignment horizontal="left"/>
    </xf>
    <xf numFmtId="165" fontId="6" fillId="0" borderId="1" xfId="7" applyNumberFormat="1" applyBorder="1" applyAlignment="1">
      <alignment horizontal="left"/>
    </xf>
    <xf numFmtId="0" fontId="1" fillId="2" borderId="1" xfId="0" applyFont="1" applyFill="1" applyBorder="1" applyAlignment="1">
      <alignment horizontal="left" wrapText="1"/>
    </xf>
    <xf numFmtId="0" fontId="16" fillId="2" borderId="1" xfId="0" applyFont="1" applyFill="1" applyBorder="1" applyAlignment="1">
      <alignment horizontal="left"/>
    </xf>
    <xf numFmtId="166" fontId="13" fillId="0" borderId="1" xfId="2" applyNumberFormat="1" applyFont="1" applyBorder="1" applyAlignment="1">
      <alignment horizontal="left"/>
    </xf>
    <xf numFmtId="0" fontId="0" fillId="0" borderId="1" xfId="3" applyFont="1" applyBorder="1" applyAlignment="1">
      <alignment horizontal="center"/>
    </xf>
    <xf numFmtId="0" fontId="10" fillId="0" borderId="1" xfId="7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10" fillId="2" borderId="1" xfId="0" applyFont="1" applyFill="1" applyBorder="1" applyAlignment="1">
      <alignment horizontal="left"/>
    </xf>
    <xf numFmtId="49" fontId="10" fillId="0" borderId="1" xfId="7" applyNumberFormat="1" applyFont="1" applyBorder="1" applyAlignment="1">
      <alignment horizontal="left"/>
    </xf>
    <xf numFmtId="0" fontId="2" fillId="0" borderId="1" xfId="4" applyFont="1" applyBorder="1"/>
    <xf numFmtId="0" fontId="18" fillId="0" borderId="1" xfId="0" applyFont="1" applyBorder="1" applyAlignment="1">
      <alignment horizontal="left"/>
    </xf>
    <xf numFmtId="0" fontId="2" fillId="0" borderId="1" xfId="2" applyFont="1" applyBorder="1" applyAlignment="1">
      <alignment horizontal="center"/>
    </xf>
    <xf numFmtId="167" fontId="1" fillId="0" borderId="1" xfId="4" applyNumberFormat="1" applyBorder="1" applyAlignment="1">
      <alignment horizontal="center"/>
    </xf>
    <xf numFmtId="0" fontId="19" fillId="0" borderId="1" xfId="0" applyFont="1" applyBorder="1" applyAlignment="1">
      <alignment horizontal="left"/>
    </xf>
    <xf numFmtId="0" fontId="12" fillId="0" borderId="1" xfId="7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6" fillId="2" borderId="1" xfId="7" applyFont="1" applyFill="1" applyBorder="1" applyAlignment="1">
      <alignment horizontal="left"/>
    </xf>
    <xf numFmtId="0" fontId="1" fillId="2" borderId="1" xfId="7" applyFont="1" applyFill="1" applyBorder="1" applyAlignment="1">
      <alignment horizontal="left"/>
    </xf>
    <xf numFmtId="0" fontId="21" fillId="0" borderId="1" xfId="0" applyFont="1" applyBorder="1" applyAlignment="1">
      <alignment horizontal="left"/>
    </xf>
    <xf numFmtId="17" fontId="1" fillId="2" borderId="1" xfId="0" applyNumberFormat="1" applyFont="1" applyFill="1" applyBorder="1" applyAlignment="1">
      <alignment horizontal="left"/>
    </xf>
    <xf numFmtId="9" fontId="1" fillId="2" borderId="1" xfId="0" applyNumberFormat="1" applyFont="1" applyFill="1" applyBorder="1" applyAlignment="1">
      <alignment horizontal="center"/>
    </xf>
    <xf numFmtId="0" fontId="12" fillId="2" borderId="1" xfId="2" applyFont="1" applyFill="1" applyBorder="1" applyAlignment="1">
      <alignment horizontal="left"/>
    </xf>
    <xf numFmtId="49" fontId="0" fillId="2" borderId="1" xfId="0" applyNumberForma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14" fontId="11" fillId="0" borderId="1" xfId="0" applyNumberFormat="1" applyFont="1" applyBorder="1" applyAlignment="1">
      <alignment horizontal="left"/>
    </xf>
    <xf numFmtId="14" fontId="6" fillId="0" borderId="1" xfId="6" applyNumberFormat="1" applyBorder="1" applyAlignment="1">
      <alignment horizontal="left"/>
    </xf>
    <xf numFmtId="0" fontId="0" fillId="0" borderId="1" xfId="0" applyBorder="1" applyAlignment="1">
      <alignment horizontal="left"/>
    </xf>
    <xf numFmtId="14" fontId="23" fillId="0" borderId="1" xfId="0" applyNumberFormat="1" applyFont="1" applyBorder="1" applyAlignment="1">
      <alignment horizontal="left"/>
    </xf>
    <xf numFmtId="0" fontId="10" fillId="0" borderId="1" xfId="6" applyFont="1" applyBorder="1" applyAlignment="1">
      <alignment horizontal="center"/>
    </xf>
    <xf numFmtId="168" fontId="1" fillId="2" borderId="1" xfId="4" applyNumberFormat="1" applyFill="1" applyBorder="1" applyAlignment="1">
      <alignment horizontal="left"/>
    </xf>
    <xf numFmtId="10" fontId="12" fillId="2" borderId="1" xfId="0" applyNumberFormat="1" applyFont="1" applyFill="1" applyBorder="1" applyAlignment="1">
      <alignment horizontal="left"/>
    </xf>
    <xf numFmtId="0" fontId="24" fillId="0" borderId="1" xfId="6" applyFont="1" applyBorder="1" applyAlignment="1">
      <alignment horizontal="left"/>
    </xf>
    <xf numFmtId="166" fontId="1" fillId="0" borderId="1" xfId="0" applyNumberFormat="1" applyFont="1" applyBorder="1" applyAlignment="1">
      <alignment horizontal="center"/>
    </xf>
    <xf numFmtId="17" fontId="0" fillId="0" borderId="1" xfId="0" applyNumberFormat="1" applyBorder="1" applyAlignment="1">
      <alignment horizontal="center"/>
    </xf>
    <xf numFmtId="0" fontId="1" fillId="2" borderId="1" xfId="4" applyFill="1" applyBorder="1" applyAlignment="1">
      <alignment horizontal="left" wrapText="1"/>
    </xf>
    <xf numFmtId="17" fontId="1" fillId="0" borderId="1" xfId="0" applyNumberFormat="1" applyFont="1" applyBorder="1" applyAlignment="1">
      <alignment horizontal="center"/>
    </xf>
    <xf numFmtId="0" fontId="16" fillId="2" borderId="1" xfId="4" applyFont="1" applyFill="1" applyBorder="1" applyAlignment="1">
      <alignment horizontal="left"/>
    </xf>
    <xf numFmtId="0" fontId="0" fillId="0" borderId="1" xfId="0" applyBorder="1"/>
    <xf numFmtId="10" fontId="2" fillId="2" borderId="1" xfId="2" applyNumberFormat="1" applyFont="1" applyFill="1" applyBorder="1" applyAlignment="1">
      <alignment horizontal="left"/>
    </xf>
    <xf numFmtId="17" fontId="25" fillId="0" borderId="1" xfId="2" applyNumberFormat="1" applyFont="1" applyBorder="1" applyAlignment="1">
      <alignment horizontal="center"/>
    </xf>
    <xf numFmtId="9" fontId="0" fillId="2" borderId="1" xfId="4" applyNumberFormat="1" applyFont="1" applyFill="1" applyBorder="1" applyAlignment="1">
      <alignment horizontal="left"/>
    </xf>
    <xf numFmtId="0" fontId="12" fillId="2" borderId="1" xfId="4" applyFont="1" applyFill="1" applyBorder="1" applyAlignment="1">
      <alignment horizontal="left"/>
    </xf>
    <xf numFmtId="0" fontId="26" fillId="2" borderId="1" xfId="4" applyFont="1" applyFill="1" applyBorder="1" applyAlignment="1">
      <alignment horizontal="left"/>
    </xf>
    <xf numFmtId="17" fontId="23" fillId="0" borderId="1" xfId="2" applyNumberFormat="1" applyFont="1" applyBorder="1" applyAlignment="1">
      <alignment horizontal="left"/>
    </xf>
    <xf numFmtId="0" fontId="27" fillId="2" borderId="1" xfId="7" applyFont="1" applyFill="1" applyBorder="1" applyAlignment="1">
      <alignment horizontal="left"/>
    </xf>
    <xf numFmtId="0" fontId="0" fillId="2" borderId="1" xfId="7" applyFont="1" applyFill="1" applyBorder="1" applyAlignment="1">
      <alignment horizontal="left"/>
    </xf>
    <xf numFmtId="9" fontId="1" fillId="2" borderId="1" xfId="7" applyNumberFormat="1" applyFont="1" applyFill="1" applyBorder="1" applyAlignment="1">
      <alignment horizontal="left"/>
    </xf>
    <xf numFmtId="0" fontId="0" fillId="0" borderId="1" xfId="4" applyFont="1" applyBorder="1" applyAlignment="1">
      <alignment horizontal="center"/>
    </xf>
    <xf numFmtId="16" fontId="0" fillId="2" borderId="1" xfId="3" applyNumberFormat="1" applyFont="1" applyFill="1" applyBorder="1" applyAlignment="1">
      <alignment horizontal="left"/>
    </xf>
    <xf numFmtId="0" fontId="0" fillId="2" borderId="1" xfId="4" applyFont="1" applyFill="1" applyBorder="1" applyAlignment="1">
      <alignment horizontal="center"/>
    </xf>
    <xf numFmtId="0" fontId="10" fillId="2" borderId="1" xfId="7" applyFont="1" applyFill="1" applyBorder="1" applyAlignment="1">
      <alignment horizontal="left"/>
    </xf>
    <xf numFmtId="165" fontId="10" fillId="0" borderId="7" xfId="4" applyNumberFormat="1" applyFont="1" applyBorder="1" applyAlignment="1">
      <alignment horizontal="left"/>
    </xf>
    <xf numFmtId="0" fontId="10" fillId="0" borderId="7" xfId="0" applyFont="1" applyBorder="1" applyAlignment="1">
      <alignment horizontal="left"/>
    </xf>
    <xf numFmtId="0" fontId="10" fillId="0" borderId="7" xfId="4" applyFont="1" applyBorder="1" applyAlignment="1">
      <alignment horizontal="left"/>
    </xf>
    <xf numFmtId="14" fontId="13" fillId="0" borderId="1" xfId="0" applyNumberFormat="1" applyFont="1" applyBorder="1" applyAlignment="1">
      <alignment horizontal="left"/>
    </xf>
    <xf numFmtId="0" fontId="29" fillId="0" borderId="1" xfId="6" applyFont="1" applyBorder="1" applyAlignment="1">
      <alignment horizontal="left"/>
    </xf>
    <xf numFmtId="0" fontId="2" fillId="0" borderId="2" xfId="5" applyFont="1" applyBorder="1" applyAlignment="1">
      <alignment horizontal="center" vertical="center" textRotation="90" wrapText="1"/>
    </xf>
    <xf numFmtId="0" fontId="0" fillId="0" borderId="2" xfId="0" applyBorder="1" applyAlignment="1">
      <alignment horizontal="center" vertical="center" textRotation="90" wrapText="1"/>
    </xf>
    <xf numFmtId="0" fontId="3" fillId="0" borderId="2" xfId="5" applyFont="1" applyBorder="1" applyAlignment="1">
      <alignment horizontal="center" vertical="center" textRotation="90" wrapText="1"/>
    </xf>
    <xf numFmtId="0" fontId="0" fillId="0" borderId="4" xfId="0" applyBorder="1" applyAlignment="1">
      <alignment horizontal="center" vertical="center" textRotation="90" wrapText="1"/>
    </xf>
    <xf numFmtId="0" fontId="4" fillId="0" borderId="4" xfId="5" applyFont="1" applyBorder="1" applyAlignment="1">
      <alignment horizontal="center" vertical="center" textRotation="90" wrapText="1"/>
    </xf>
    <xf numFmtId="164" fontId="0" fillId="0" borderId="4" xfId="5" applyNumberFormat="1" applyFont="1" applyBorder="1" applyAlignment="1">
      <alignment horizontal="center" vertical="center" textRotation="90" wrapText="1"/>
    </xf>
    <xf numFmtId="14" fontId="0" fillId="0" borderId="4" xfId="6" applyNumberFormat="1" applyFont="1" applyBorder="1" applyAlignment="1">
      <alignment horizontal="center" vertical="center" textRotation="90" wrapText="1"/>
    </xf>
    <xf numFmtId="49" fontId="1" fillId="0" borderId="4" xfId="2" applyNumberFormat="1" applyBorder="1" applyAlignment="1">
      <alignment horizontal="center" vertical="center" textRotation="90" wrapText="1"/>
    </xf>
    <xf numFmtId="2" fontId="0" fillId="0" borderId="4" xfId="4" applyNumberFormat="1" applyFont="1" applyBorder="1" applyAlignment="1">
      <alignment horizontal="center" vertical="center" textRotation="90" wrapText="1"/>
    </xf>
    <xf numFmtId="49" fontId="0" fillId="0" borderId="4" xfId="5" applyNumberFormat="1" applyFont="1" applyBorder="1" applyAlignment="1">
      <alignment horizontal="center" vertical="center" textRotation="90" wrapText="1"/>
    </xf>
    <xf numFmtId="0" fontId="0" fillId="0" borderId="4" xfId="5" applyFont="1" applyBorder="1" applyAlignment="1">
      <alignment horizontal="center" vertical="center" textRotation="90" wrapText="1"/>
    </xf>
    <xf numFmtId="0" fontId="1" fillId="0" borderId="4" xfId="5" applyBorder="1" applyAlignment="1">
      <alignment horizontal="center" vertical="center" textRotation="90" wrapText="1"/>
    </xf>
    <xf numFmtId="0" fontId="17" fillId="3" borderId="1" xfId="5" applyFont="1" applyFill="1" applyBorder="1" applyAlignment="1">
      <alignment vertical="center"/>
    </xf>
    <xf numFmtId="0" fontId="37" fillId="0" borderId="1" xfId="0" applyFont="1" applyBorder="1" applyAlignment="1">
      <alignment horizontal="center" vertical="center"/>
    </xf>
    <xf numFmtId="10" fontId="38" fillId="0" borderId="1" xfId="0" applyNumberFormat="1" applyFont="1" applyBorder="1" applyAlignment="1">
      <alignment horizontal="center" vertical="center" wrapText="1"/>
    </xf>
    <xf numFmtId="169" fontId="38" fillId="0" borderId="1" xfId="0" applyNumberFormat="1" applyFont="1" applyBorder="1" applyAlignment="1">
      <alignment horizontal="center" vertical="center" wrapText="1"/>
    </xf>
    <xf numFmtId="0" fontId="1" fillId="4" borderId="1" xfId="4" applyFill="1" applyBorder="1" applyAlignment="1">
      <alignment horizontal="left"/>
    </xf>
    <xf numFmtId="0" fontId="0" fillId="4" borderId="1" xfId="0" applyFill="1" applyBorder="1"/>
    <xf numFmtId="0" fontId="17" fillId="3" borderId="3" xfId="5" applyFont="1" applyFill="1" applyBorder="1" applyAlignment="1">
      <alignment horizontal="center" vertical="center"/>
    </xf>
    <xf numFmtId="0" fontId="17" fillId="3" borderId="8" xfId="5" applyFont="1" applyFill="1" applyBorder="1" applyAlignment="1">
      <alignment horizontal="center" vertical="center"/>
    </xf>
    <xf numFmtId="0" fontId="37" fillId="0" borderId="0" xfId="0" applyFont="1" applyAlignment="1">
      <alignment horizontal="center" vertical="center"/>
    </xf>
    <xf numFmtId="0" fontId="37" fillId="0" borderId="0" xfId="0" applyFont="1" applyAlignment="1">
      <alignment horizontal="center" vertical="center" wrapText="1"/>
    </xf>
    <xf numFmtId="0" fontId="0" fillId="5" borderId="1" xfId="0" applyFill="1" applyBorder="1"/>
    <xf numFmtId="0" fontId="8" fillId="6" borderId="4" xfId="0" applyFont="1" applyFill="1" applyBorder="1" applyAlignment="1">
      <alignment horizontal="center" vertical="center" textRotation="90" wrapText="1"/>
    </xf>
    <xf numFmtId="0" fontId="17" fillId="6" borderId="9" xfId="5" applyFont="1" applyFill="1" applyBorder="1" applyAlignment="1">
      <alignment horizontal="center" vertical="center"/>
    </xf>
    <xf numFmtId="0" fontId="1" fillId="6" borderId="1" xfId="4" applyFill="1" applyBorder="1" applyAlignment="1">
      <alignment horizontal="center" vertical="center"/>
    </xf>
    <xf numFmtId="0" fontId="1" fillId="7" borderId="1" xfId="4" applyFill="1" applyBorder="1" applyAlignment="1">
      <alignment horizontal="center" vertical="center"/>
    </xf>
    <xf numFmtId="0" fontId="1" fillId="6" borderId="1" xfId="3" applyFill="1" applyBorder="1" applyAlignment="1">
      <alignment horizontal="center" vertical="center"/>
    </xf>
    <xf numFmtId="0" fontId="2" fillId="6" borderId="1" xfId="2" applyFont="1" applyFill="1" applyBorder="1" applyAlignment="1">
      <alignment horizontal="center" vertical="center"/>
    </xf>
    <xf numFmtId="0" fontId="1" fillId="6" borderId="1" xfId="2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2" fillId="6" borderId="1" xfId="3" applyFont="1" applyFill="1" applyBorder="1" applyAlignment="1">
      <alignment horizontal="center" vertical="center"/>
    </xf>
    <xf numFmtId="0" fontId="0" fillId="6" borderId="1" xfId="4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0" fillId="7" borderId="1" xfId="4" applyFont="1" applyFill="1" applyBorder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4" applyFill="1" applyBorder="1" applyAlignment="1">
      <alignment horizontal="left"/>
    </xf>
    <xf numFmtId="0" fontId="0" fillId="0" borderId="1" xfId="0" applyFill="1" applyBorder="1"/>
    <xf numFmtId="0" fontId="17" fillId="3" borderId="3" xfId="5" applyFont="1" applyFill="1" applyBorder="1" applyAlignment="1">
      <alignment horizontal="center" vertical="center"/>
    </xf>
    <xf numFmtId="0" fontId="17" fillId="3" borderId="8" xfId="5" applyFont="1" applyFill="1" applyBorder="1" applyAlignment="1">
      <alignment horizontal="center" vertical="center"/>
    </xf>
    <xf numFmtId="0" fontId="17" fillId="3" borderId="9" xfId="5" applyFont="1" applyFill="1" applyBorder="1" applyAlignment="1">
      <alignment horizontal="center" vertical="center"/>
    </xf>
  </cellXfs>
  <cellStyles count="8">
    <cellStyle name="Hypertextový odkaz" xfId="1" builtinId="8"/>
    <cellStyle name="Normal_Sheet1 2" xfId="2"/>
    <cellStyle name="Normal_Sheet2 2" xfId="3"/>
    <cellStyle name="Normal_Sheet3 2 2" xfId="4"/>
    <cellStyle name="Normal_Welding" xfId="5"/>
    <cellStyle name="normální" xfId="0" builtinId="0"/>
    <cellStyle name="normální_List1" xfId="6"/>
    <cellStyle name="normální_List1 3" xfId="7"/>
  </cellStyles>
  <dxfs count="21"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toyotaeu-my.sharepoint.com/personal/andrea_bucankova_toyotacz_com/AppData/Roaming/depts/D_QUALITY_CONTROL/01-%20Organization%20&amp;%20Responsibility/013-Inspection%20Operation/0134-Regulation/01_Calibration/Requesty/Kalibrace/&#268;MI" TargetMode="External"/><Relationship Id="rId117" Type="http://schemas.openxmlformats.org/officeDocument/2006/relationships/hyperlink" Target="https://toyotaeu-my.sharepoint.com/personal/andrea_bucankova_toyotacz_com/AppData/Roaming/depts/D_QUALITY_CONTROL/01-%20Organization%20&amp;%20Responsibility/013-Inspection%20Operation/0134-Regulation/01_Calibration/Requesty/Kalibrace/&#268;MI" TargetMode="External"/><Relationship Id="rId21" Type="http://schemas.openxmlformats.org/officeDocument/2006/relationships/hyperlink" Target="https://toyotaeu-my.sharepoint.com/personal/andrea_bucankova_toyotacz_com/AppData/Roaming/depts/D_QUALITY_CONTROL/01-%20Organization%20&amp;%20Responsibility/013-Inspection%20Operation/0134-Regulation/01_Calibration/Requesty/Kalibrace/&#268;MI" TargetMode="External"/><Relationship Id="rId42" Type="http://schemas.openxmlformats.org/officeDocument/2006/relationships/hyperlink" Target="https://toyotaeu-my.sharepoint.com/personal/andrea_bucankova_toyotacz_com/AppData/Roaming/depts/D_QUALITY_CONTROL/01-%20Organization%20&amp;%20Responsibility/013-Inspection%20Operation/0134-Regulation/01_Calibration/Requesty/Kalibrace/&#268;MI" TargetMode="External"/><Relationship Id="rId47" Type="http://schemas.openxmlformats.org/officeDocument/2006/relationships/hyperlink" Target="https://toyotaeu-my.sharepoint.com/personal/andrea_bucankova_toyotacz_com/AppData/Roaming/depts/D_QUALITY_CONTROL/01-%20Organization%20&amp;%20Responsibility/013-Inspection%20Operation/0134-Regulation/01_Calibration/Requesty/Kalibrace/&#268;MI" TargetMode="External"/><Relationship Id="rId63" Type="http://schemas.openxmlformats.org/officeDocument/2006/relationships/hyperlink" Target="https://toyotaeu-my.sharepoint.com/personal/andrea_bucankova_toyotacz_com/AppData/Roaming/depts/D_QUALITY_CONTROL/01-%20Organization%20&amp;%20Responsibility/013-Inspection%20Operation/0134-Regulation/01_Calibration/Requesty/Kalibrace/&#268;MI" TargetMode="External"/><Relationship Id="rId68" Type="http://schemas.openxmlformats.org/officeDocument/2006/relationships/hyperlink" Target="https://toyotaeu-my.sharepoint.com/personal/andrea_bucankova_toyotacz_com/AppData/Roaming/depts/D_QUALITY_CONTROL/01-%20Organization%20&amp;%20Responsibility/013-Inspection%20Operation/0134-Regulation/01_Calibration/Requesty/Kalibrace/&#268;MI" TargetMode="External"/><Relationship Id="rId84" Type="http://schemas.openxmlformats.org/officeDocument/2006/relationships/hyperlink" Target="https://toyotaeu-my.sharepoint.com/personal/andrea_bucankova_toyotacz_com/AppData/Roaming/depts/D_QUALITY_CONTROL/01-%20Organization%20&amp;%20Responsibility/013-Inspection%20Operation/0134-Regulation/01_Calibration/Requesty/Kalibrace/&#268;MI" TargetMode="External"/><Relationship Id="rId89" Type="http://schemas.openxmlformats.org/officeDocument/2006/relationships/hyperlink" Target="https://toyotaeu-my.sharepoint.com/personal/andrea_bucankova_toyotacz_com/AppData/Roaming/depts/D_QUALITY_CONTROL/01-%20Organization%20&amp;%20Responsibility/013-Inspection%20Operation/0134-Regulation/01_Calibration/Requesty/Kalibrace/&#268;MI" TargetMode="External"/><Relationship Id="rId112" Type="http://schemas.openxmlformats.org/officeDocument/2006/relationships/hyperlink" Target="https://toyotaeu-my.sharepoint.com/personal/andrea_bucankova_toyotacz_com/AppData/Roaming/depts/D_QUALITY_CONTROL/01-%20Organization%20&amp;%20Responsibility/013-Inspection%20Operation/0134-Regulation/01_Calibration/Requesty/Kalibrace/&#268;MI" TargetMode="External"/><Relationship Id="rId133" Type="http://schemas.openxmlformats.org/officeDocument/2006/relationships/hyperlink" Target="https://toyotaeu-my.sharepoint.com/personal/andrea_bucankova_toyotacz_com/AppData/Roaming/depts/D_QUALITY_CONTROL/01-%20Organization%20&amp;%20Responsibility/013-Inspection%20Operation/0134-Regulation/01_Calibration/Requesty/Kalibrace/&#268;MI" TargetMode="External"/><Relationship Id="rId138" Type="http://schemas.openxmlformats.org/officeDocument/2006/relationships/hyperlink" Target="https://toyotaeu-my.sharepoint.com/personal/andrea_bucankova_toyotacz_com/AppData/Roaming/depts/D_QUALITY_CONTROL/01-%20Organization%20&amp;%20Responsibility/013-Inspection%20Operation/0134-Regulation/01_Calibration/Requesty/Kalibrace/&#268;MI" TargetMode="External"/><Relationship Id="rId16" Type="http://schemas.openxmlformats.org/officeDocument/2006/relationships/hyperlink" Target="https://toyotaeu-my.sharepoint.com/personal/andrea_bucankova_toyotacz_com/AppData/Roaming/depts/D_QUALITY_CONTROL/01-%20Organization%20&amp;%20Responsibility/013-Inspection%20Operation/0134-Regulation/01_Calibration/Requesty/Kalibrace/&#268;MI" TargetMode="External"/><Relationship Id="rId107" Type="http://schemas.openxmlformats.org/officeDocument/2006/relationships/hyperlink" Target="https://toyotaeu-my.sharepoint.com/personal/andrea_bucankova_toyotacz_com/AppData/Roaming/depts/D_QUALITY_CONTROL/01-%20Organization%20&amp;%20Responsibility/013-Inspection%20Operation/0134-Regulation/01_Calibration/Requesty/Kalibrace/&#268;MI" TargetMode="External"/><Relationship Id="rId11" Type="http://schemas.openxmlformats.org/officeDocument/2006/relationships/hyperlink" Target="https://toyotaeu-my.sharepoint.com/personal/andrea_bucankova_toyotacz_com/AppData/Roaming/depts/D_QUALITY_CONTROL/01-%20Organization%20&amp;%20Responsibility/013-Inspection%20Operation/0134-Regulation/01_Calibration/Requesty/Kalibrace/&#268;MI" TargetMode="External"/><Relationship Id="rId32" Type="http://schemas.openxmlformats.org/officeDocument/2006/relationships/hyperlink" Target="https://toyotaeu-my.sharepoint.com/personal/andrea_bucankova_toyotacz_com/AppData/Roaming/depts/D_QUALITY_CONTROL/01-%20Organization%20&amp;%20Responsibility/013-Inspection%20Operation/0134-Regulation/01_Calibration/Requesty/Kalibrace/&#268;MI" TargetMode="External"/><Relationship Id="rId37" Type="http://schemas.openxmlformats.org/officeDocument/2006/relationships/hyperlink" Target="https://toyotaeu-my.sharepoint.com/personal/andrea_bucankova_toyotacz_com/AppData/Roaming/depts/D_QUALITY_CONTROL/01-%20Organization%20&amp;%20Responsibility/013-Inspection%20Operation/0134-Regulation/01_Calibration/Requesty/Kalibrace/&#268;MI" TargetMode="External"/><Relationship Id="rId53" Type="http://schemas.openxmlformats.org/officeDocument/2006/relationships/hyperlink" Target="https://toyotaeu-my.sharepoint.com/personal/andrea_bucankova_toyotacz_com/AppData/Roaming/depts/D_QUALITY_CONTROL/01-%20Organization%20&amp;%20Responsibility/013-Inspection%20Operation/0134-Regulation/01_Calibration/Requesty/Kalibrace/&#268;MI" TargetMode="External"/><Relationship Id="rId58" Type="http://schemas.openxmlformats.org/officeDocument/2006/relationships/hyperlink" Target="https://toyotaeu-my.sharepoint.com/personal/andrea_bucankova_toyotacz_com/AppData/Roaming/depts/D_QUALITY_CONTROL/01-%20Organization%20&amp;%20Responsibility/013-Inspection%20Operation/0134-Regulation/01_Calibration/Requesty/Kalibrace/&#268;MI" TargetMode="External"/><Relationship Id="rId74" Type="http://schemas.openxmlformats.org/officeDocument/2006/relationships/hyperlink" Target="https://toyotaeu-my.sharepoint.com/personal/andrea_bucankova_toyotacz_com/AppData/Roaming/depts/D_QUALITY_CONTROL/01-%20Organization%20&amp;%20Responsibility/013-Inspection%20Operation/0134-Regulation/01_Calibration/Requesty/Kalibrace/&#268;MI" TargetMode="External"/><Relationship Id="rId79" Type="http://schemas.openxmlformats.org/officeDocument/2006/relationships/hyperlink" Target="https://toyotaeu-my.sharepoint.com/personal/andrea_bucankova_toyotacz_com/AppData/Roaming/depts/D_QUALITY_CONTROL/01-%20Organization%20&amp;%20Responsibility/013-Inspection%20Operation/0134-Regulation/01_Calibration/Requesty/Kalibrace/&#268;MI" TargetMode="External"/><Relationship Id="rId102" Type="http://schemas.openxmlformats.org/officeDocument/2006/relationships/hyperlink" Target="https://toyotaeu-my.sharepoint.com/personal/andrea_bucankova_toyotacz_com/AppData/Roaming/depts/D_QUALITY_CONTROL/01-%20Organization%20&amp;%20Responsibility/013-Inspection%20Operation/0134-Regulation/01_Calibration/Requesty/Kalibrace/&#268;MI" TargetMode="External"/><Relationship Id="rId123" Type="http://schemas.openxmlformats.org/officeDocument/2006/relationships/hyperlink" Target="https://toyotaeu-my.sharepoint.com/personal/andrea_bucankova_toyotacz_com/AppData/Roaming/depts/D_QUALITY_CONTROL/01-%20Organization%20&amp;%20Responsibility/013-Inspection%20Operation/0134-Regulation/01_Calibration/Requesty/Kalibrace/&#268;MI" TargetMode="External"/><Relationship Id="rId128" Type="http://schemas.openxmlformats.org/officeDocument/2006/relationships/hyperlink" Target="https://toyotaeu-my.sharepoint.com/personal/andrea_bucankova_toyotacz_com/AppData/Roaming/depts/D_QUALITY_CONTROL/01-%20Organization%20&amp;%20Responsibility/013-Inspection%20Operation/0134-Regulation/01_Calibration/Requesty/Kalibrace/&#268;MI" TargetMode="External"/><Relationship Id="rId5" Type="http://schemas.openxmlformats.org/officeDocument/2006/relationships/hyperlink" Target="https://toyotaeu-my.sharepoint.com/personal/andrea_bucankova_toyotacz_com/AppData/Roaming/depts/D_QUALITY_CONTROL/01-%20Organization%20&amp;%20Responsibility/013-Inspection%20Operation/0134-Regulation/01_Calibration/Requesty/Kalibrace/&#268;MI" TargetMode="External"/><Relationship Id="rId90" Type="http://schemas.openxmlformats.org/officeDocument/2006/relationships/hyperlink" Target="https://toyotaeu-my.sharepoint.com/personal/andrea_bucankova_toyotacz_com/AppData/Roaming/depts/D_QUALITY_CONTROL/01-%20Organization%20&amp;%20Responsibility/013-Inspection%20Operation/0134-Regulation/01_Calibration/Requesty/Kalibrace/&#268;MI" TargetMode="External"/><Relationship Id="rId95" Type="http://schemas.openxmlformats.org/officeDocument/2006/relationships/hyperlink" Target="https://toyotaeu-my.sharepoint.com/personal/andrea_bucankova_toyotacz_com/AppData/Roaming/depts/D_QUALITY_CONTROL/01-%20Organization%20&amp;%20Responsibility/013-Inspection%20Operation/0134-Regulation/01_Calibration/Requesty/Kalibrace/&#268;MI" TargetMode="External"/><Relationship Id="rId22" Type="http://schemas.openxmlformats.org/officeDocument/2006/relationships/hyperlink" Target="https://toyotaeu-my.sharepoint.com/personal/andrea_bucankova_toyotacz_com/AppData/Roaming/depts/D_QUALITY_CONTROL/01-%20Organization%20&amp;%20Responsibility/013-Inspection%20Operation/0134-Regulation/01_Calibration/Requesty/Kalibrace/&#268;MI" TargetMode="External"/><Relationship Id="rId27" Type="http://schemas.openxmlformats.org/officeDocument/2006/relationships/hyperlink" Target="https://toyotaeu-my.sharepoint.com/personal/andrea_bucankova_toyotacz_com/AppData/Roaming/depts/D_QUALITY_CONTROL/01-%20Organization%20&amp;%20Responsibility/013-Inspection%20Operation/0134-Regulation/01_Calibration/Requesty/Kalibrace/&#268;MI" TargetMode="External"/><Relationship Id="rId43" Type="http://schemas.openxmlformats.org/officeDocument/2006/relationships/hyperlink" Target="https://toyotaeu-my.sharepoint.com/personal/andrea_bucankova_toyotacz_com/AppData/Roaming/depts/D_QUALITY_CONTROL/01-%20Organization%20&amp;%20Responsibility/013-Inspection%20Operation/0134-Regulation/01_Calibration/Requesty/Kalibrace/&#268;MI" TargetMode="External"/><Relationship Id="rId48" Type="http://schemas.openxmlformats.org/officeDocument/2006/relationships/hyperlink" Target="https://toyotaeu-my.sharepoint.com/personal/andrea_bucankova_toyotacz_com/AppData/Roaming/depts/D_QUALITY_CONTROL/01-%20Organization%20&amp;%20Responsibility/013-Inspection%20Operation/0134-Regulation/01_Calibration/Requesty/Kalibrace/&#268;MI" TargetMode="External"/><Relationship Id="rId64" Type="http://schemas.openxmlformats.org/officeDocument/2006/relationships/hyperlink" Target="https://toyotaeu-my.sharepoint.com/personal/andrea_bucankova_toyotacz_com/AppData/Roaming/depts/D_QUALITY_CONTROL/01-%20Organization%20&amp;%20Responsibility/013-Inspection%20Operation/0134-Regulation/01_Calibration/Requesty/Kalibrace/&#268;MI" TargetMode="External"/><Relationship Id="rId69" Type="http://schemas.openxmlformats.org/officeDocument/2006/relationships/hyperlink" Target="https://toyotaeu-my.sharepoint.com/personal/andrea_bucankova_toyotacz_com/AppData/Roaming/depts/D_QUALITY_CONTROL/01-%20Organization%20&amp;%20Responsibility/013-Inspection%20Operation/0134-Regulation/01_Calibration/Requesty/Kalibrace/&#268;MI" TargetMode="External"/><Relationship Id="rId113" Type="http://schemas.openxmlformats.org/officeDocument/2006/relationships/hyperlink" Target="https://toyotaeu-my.sharepoint.com/personal/andrea_bucankova_toyotacz_com/AppData/Roaming/depts/D_QUALITY_CONTROL/01-%20Organization%20&amp;%20Responsibility/013-Inspection%20Operation/0134-Regulation/01_Calibration/Requesty/Kalibrace/&#268;MI" TargetMode="External"/><Relationship Id="rId118" Type="http://schemas.openxmlformats.org/officeDocument/2006/relationships/hyperlink" Target="https://toyotaeu-my.sharepoint.com/personal/andrea_bucankova_toyotacz_com/AppData/Roaming/depts/D_QUALITY_CONTROL/01-%20Organization%20&amp;%20Responsibility/013-Inspection%20Operation/0134-Regulation/01_Calibration/Requesty/Kalibrace/&#268;MI" TargetMode="External"/><Relationship Id="rId134" Type="http://schemas.openxmlformats.org/officeDocument/2006/relationships/hyperlink" Target="https://toyotaeu-my.sharepoint.com/personal/andrea_bucankova_toyotacz_com/AppData/Roaming/depts/D_QUALITY_CONTROL/01-%20Organization%20&amp;%20Responsibility/013-Inspection%20Operation/0134-Regulation/01_Calibration/Requesty/Kalibrace/&#268;MI" TargetMode="External"/><Relationship Id="rId139" Type="http://schemas.openxmlformats.org/officeDocument/2006/relationships/printerSettings" Target="../printerSettings/printerSettings1.bin"/><Relationship Id="rId8" Type="http://schemas.openxmlformats.org/officeDocument/2006/relationships/hyperlink" Target="https://toyotaeu-my.sharepoint.com/personal/andrea_bucankova_toyotacz_com/AppData/Roaming/depts/D_QUALITY_CONTROL/01-%20Organization%20&amp;%20Responsibility/013-Inspection%20Operation/0134-Regulation/01_Calibration/Requesty/Kalibrace/&#268;MI" TargetMode="External"/><Relationship Id="rId51" Type="http://schemas.openxmlformats.org/officeDocument/2006/relationships/hyperlink" Target="https://toyotaeu-my.sharepoint.com/personal/andrea_bucankova_toyotacz_com/AppData/Roaming/depts/D_QUALITY_CONTROL/01-%20Organization%20&amp;%20Responsibility/013-Inspection%20Operation/0134-Regulation/01_Calibration/Requesty/Kalibrace/&#268;MI" TargetMode="External"/><Relationship Id="rId72" Type="http://schemas.openxmlformats.org/officeDocument/2006/relationships/hyperlink" Target="https://toyotaeu-my.sharepoint.com/personal/andrea_bucankova_toyotacz_com/AppData/Roaming/depts/D_QUALITY_CONTROL/01-%20Organization%20&amp;%20Responsibility/013-Inspection%20Operation/0134-Regulation/01_Calibration/Requesty/Kalibrace/&#268;MI" TargetMode="External"/><Relationship Id="rId80" Type="http://schemas.openxmlformats.org/officeDocument/2006/relationships/hyperlink" Target="https://toyotaeu-my.sharepoint.com/personal/andrea_bucankova_toyotacz_com/AppData/Roaming/depts/D_QUALITY_CONTROL/01-%20Organization%20&amp;%20Responsibility/013-Inspection%20Operation/0134-Regulation/01_Calibration/Requesty/Kalibrace/&#268;MI" TargetMode="External"/><Relationship Id="rId85" Type="http://schemas.openxmlformats.org/officeDocument/2006/relationships/hyperlink" Target="https://toyotaeu-my.sharepoint.com/personal/andrea_bucankova_toyotacz_com/AppData/Roaming/depts/D_QUALITY_CONTROL/01-%20Organization%20&amp;%20Responsibility/013-Inspection%20Operation/0134-Regulation/01_Calibration/Requesty/Kalibrace/&#268;MI" TargetMode="External"/><Relationship Id="rId93" Type="http://schemas.openxmlformats.org/officeDocument/2006/relationships/hyperlink" Target="https://toyotaeu-my.sharepoint.com/personal/andrea_bucankova_toyotacz_com/AppData/Roaming/depts/D_QUALITY_CONTROL/01-%20Organization%20&amp;%20Responsibility/013-Inspection%20Operation/0134-Regulation/01_Calibration/Requesty/Kalibrace/&#268;MI" TargetMode="External"/><Relationship Id="rId98" Type="http://schemas.openxmlformats.org/officeDocument/2006/relationships/hyperlink" Target="https://toyotaeu-my.sharepoint.com/personal/andrea_bucankova_toyotacz_com/AppData/Roaming/depts/D_QUALITY_CONTROL/01-%20Organization%20&amp;%20Responsibility/013-Inspection%20Operation/0134-Regulation/01_Calibration/Requesty/Kalibrace/&#268;MI" TargetMode="External"/><Relationship Id="rId121" Type="http://schemas.openxmlformats.org/officeDocument/2006/relationships/hyperlink" Target="https://toyotaeu-my.sharepoint.com/personal/andrea_bucankova_toyotacz_com/AppData/Roaming/depts/D_QUALITY_CONTROL/01-%20Organization%20&amp;%20Responsibility/013-Inspection%20Operation/0134-Regulation/01_Calibration/Requesty/Kalibrace/&#268;MI" TargetMode="External"/><Relationship Id="rId3" Type="http://schemas.openxmlformats.org/officeDocument/2006/relationships/hyperlink" Target="https://toyotaeu-my.sharepoint.com/personal/andrea_bucankova_toyotacz_com/AppData/Roaming/depts/D_QUALITY_CONTROL/01-%20Organization%20&amp;%20Responsibility/013-Inspection%20Operation/0134-Regulation/01_Calibration/Requesty/Kalibrace/&#268;MI" TargetMode="External"/><Relationship Id="rId12" Type="http://schemas.openxmlformats.org/officeDocument/2006/relationships/hyperlink" Target="https://toyotaeu-my.sharepoint.com/personal/andrea_bucankova_toyotacz_com/AppData/Roaming/depts/D_QUALITY_CONTROL/01-%20Organization%20&amp;%20Responsibility/013-Inspection%20Operation/0134-Regulation/01_Calibration/Requesty/Kalibrace/&#268;MI" TargetMode="External"/><Relationship Id="rId17" Type="http://schemas.openxmlformats.org/officeDocument/2006/relationships/hyperlink" Target="https://toyotaeu-my.sharepoint.com/personal/andrea_bucankova_toyotacz_com/AppData/Roaming/depts/D_QUALITY_CONTROL/01-%20Organization%20&amp;%20Responsibility/013-Inspection%20Operation/0134-Regulation/01_Calibration/Requesty/Kalibrace/&#268;MI" TargetMode="External"/><Relationship Id="rId25" Type="http://schemas.openxmlformats.org/officeDocument/2006/relationships/hyperlink" Target="https://toyotaeu-my.sharepoint.com/personal/andrea_bucankova_toyotacz_com/AppData/Roaming/depts/D_QUALITY_CONTROL/01-%20Organization%20&amp;%20Responsibility/013-Inspection%20Operation/0134-Regulation/01_Calibration/Requesty/Kalibrace/&#268;MI" TargetMode="External"/><Relationship Id="rId33" Type="http://schemas.openxmlformats.org/officeDocument/2006/relationships/hyperlink" Target="https://toyotaeu-my.sharepoint.com/personal/andrea_bucankova_toyotacz_com/AppData/Roaming/depts/D_QUALITY_CONTROL/01-%20Organization%20&amp;%20Responsibility/013-Inspection%20Operation/0134-Regulation/01_Calibration/Requesty/Kalibrace/&#268;MI" TargetMode="External"/><Relationship Id="rId38" Type="http://schemas.openxmlformats.org/officeDocument/2006/relationships/hyperlink" Target="https://toyotaeu-my.sharepoint.com/personal/andrea_bucankova_toyotacz_com/AppData/Roaming/depts/D_QUALITY_CONTROL/01-%20Organization%20&amp;%20Responsibility/013-Inspection%20Operation/0134-Regulation/01_Calibration/Requesty/Kalibrace/&#268;MI" TargetMode="External"/><Relationship Id="rId46" Type="http://schemas.openxmlformats.org/officeDocument/2006/relationships/hyperlink" Target="https://toyotaeu-my.sharepoint.com/personal/andrea_bucankova_toyotacz_com/AppData/Roaming/depts/D_QUALITY_CONTROL/01-%20Organization%20&amp;%20Responsibility/013-Inspection%20Operation/0134-Regulation/01_Calibration/Requesty/Kalibrace/&#268;MI" TargetMode="External"/><Relationship Id="rId59" Type="http://schemas.openxmlformats.org/officeDocument/2006/relationships/hyperlink" Target="https://toyotaeu-my.sharepoint.com/personal/andrea_bucankova_toyotacz_com/AppData/Roaming/depts/D_QUALITY_CONTROL/01-%20Organization%20&amp;%20Responsibility/013-Inspection%20Operation/0134-Regulation/01_Calibration/Requesty/Kalibrace/&#268;MI" TargetMode="External"/><Relationship Id="rId67" Type="http://schemas.openxmlformats.org/officeDocument/2006/relationships/hyperlink" Target="https://toyotaeu-my.sharepoint.com/personal/andrea_bucankova_toyotacz_com/AppData/Roaming/depts/D_QUALITY_CONTROL/01-%20Organization%20&amp;%20Responsibility/013-Inspection%20Operation/0134-Regulation/01_Calibration/Requesty/Kalibrace/&#268;MI" TargetMode="External"/><Relationship Id="rId103" Type="http://schemas.openxmlformats.org/officeDocument/2006/relationships/hyperlink" Target="https://toyotaeu-my.sharepoint.com/personal/andrea_bucankova_toyotacz_com/AppData/Roaming/depts/D_QUALITY_CONTROL/01-%20Organization%20&amp;%20Responsibility/013-Inspection%20Operation/0134-Regulation/01_Calibration/Requesty/Kalibrace/&#268;MI" TargetMode="External"/><Relationship Id="rId108" Type="http://schemas.openxmlformats.org/officeDocument/2006/relationships/hyperlink" Target="https://toyotaeu-my.sharepoint.com/personal/andrea_bucankova_toyotacz_com/AppData/Roaming/depts/D_QUALITY_CONTROL/01-%20Organization%20&amp;%20Responsibility/013-Inspection%20Operation/0134-Regulation/01_Calibration/Requesty/Kalibrace/&#268;MI" TargetMode="External"/><Relationship Id="rId116" Type="http://schemas.openxmlformats.org/officeDocument/2006/relationships/hyperlink" Target="https://toyotaeu-my.sharepoint.com/personal/andrea_bucankova_toyotacz_com/AppData/Roaming/depts/D_QUALITY_CONTROL/01-%20Organization%20&amp;%20Responsibility/013-Inspection%20Operation/0134-Regulation/01_Calibration/Requesty/Kalibrace/&#268;MI" TargetMode="External"/><Relationship Id="rId124" Type="http://schemas.openxmlformats.org/officeDocument/2006/relationships/hyperlink" Target="https://toyotaeu-my.sharepoint.com/personal/andrea_bucankova_toyotacz_com/AppData/Roaming/depts/D_QUALITY_CONTROL/01-%20Organization%20&amp;%20Responsibility/013-Inspection%20Operation/0134-Regulation/01_Calibration/Requesty/Kalibrace/&#268;MI" TargetMode="External"/><Relationship Id="rId129" Type="http://schemas.openxmlformats.org/officeDocument/2006/relationships/hyperlink" Target="https://toyotaeu-my.sharepoint.com/personal/andrea_bucankova_toyotacz_com/AppData/Roaming/depts/D_QUALITY_CONTROL/01-%20Organization%20&amp;%20Responsibility/013-Inspection%20Operation/0134-Regulation/01_Calibration/Requesty/Kalibrace/&#268;MI" TargetMode="External"/><Relationship Id="rId137" Type="http://schemas.openxmlformats.org/officeDocument/2006/relationships/hyperlink" Target="https://toyotaeu-my.sharepoint.com/personal/andrea_bucankova_toyotacz_com/AppData/Roaming/depts/D_QUALITY_CONTROL/01-%20Organization%20&amp;%20Responsibility/013-Inspection%20Operation/0134-Regulation/01_Calibration/Requesty/Kalibrace/&#268;MI" TargetMode="External"/><Relationship Id="rId20" Type="http://schemas.openxmlformats.org/officeDocument/2006/relationships/hyperlink" Target="https://toyotaeu-my.sharepoint.com/personal/andrea_bucankova_toyotacz_com/AppData/Roaming/depts/D_QUALITY_CONTROL/01-%20Organization%20&amp;%20Responsibility/013-Inspection%20Operation/0134-Regulation/01_Calibration/Requesty/Kalibrace/&#268;MI" TargetMode="External"/><Relationship Id="rId41" Type="http://schemas.openxmlformats.org/officeDocument/2006/relationships/hyperlink" Target="https://toyotaeu-my.sharepoint.com/personal/andrea_bucankova_toyotacz_com/AppData/Roaming/depts/D_QUALITY_CONTROL/01-%20Organization%20&amp;%20Responsibility/013-Inspection%20Operation/0134-Regulation/01_Calibration/Requesty/Kalibrace/&#268;MI" TargetMode="External"/><Relationship Id="rId54" Type="http://schemas.openxmlformats.org/officeDocument/2006/relationships/hyperlink" Target="https://toyotaeu-my.sharepoint.com/personal/andrea_bucankova_toyotacz_com/AppData/Roaming/depts/D_QUALITY_CONTROL/01-%20Organization%20&amp;%20Responsibility/013-Inspection%20Operation/0134-Regulation/01_Calibration/Requesty/Kalibrace/&#268;MI" TargetMode="External"/><Relationship Id="rId62" Type="http://schemas.openxmlformats.org/officeDocument/2006/relationships/hyperlink" Target="https://toyotaeu-my.sharepoint.com/personal/andrea_bucankova_toyotacz_com/AppData/Roaming/depts/D_QUALITY_CONTROL/01-%20Organization%20&amp;%20Responsibility/013-Inspection%20Operation/0134-Regulation/01_Calibration/Requesty/Kalibrace/&#268;MI" TargetMode="External"/><Relationship Id="rId70" Type="http://schemas.openxmlformats.org/officeDocument/2006/relationships/hyperlink" Target="https://toyotaeu-my.sharepoint.com/personal/andrea_bucankova_toyotacz_com/AppData/Roaming/depts/D_QUALITY_CONTROL/01-%20Organization%20&amp;%20Responsibility/013-Inspection%20Operation/0134-Regulation/01_Calibration/Requesty/Kalibrace/&#268;MI" TargetMode="External"/><Relationship Id="rId75" Type="http://schemas.openxmlformats.org/officeDocument/2006/relationships/hyperlink" Target="https://toyotaeu-my.sharepoint.com/personal/andrea_bucankova_toyotacz_com/AppData/Roaming/depts/D_QUALITY_CONTROL/01-%20Organization%20&amp;%20Responsibility/013-Inspection%20Operation/0134-Regulation/01_Calibration/Requesty/Kalibrace/&#268;MI" TargetMode="External"/><Relationship Id="rId83" Type="http://schemas.openxmlformats.org/officeDocument/2006/relationships/hyperlink" Target="https://toyotaeu-my.sharepoint.com/personal/andrea_bucankova_toyotacz_com/AppData/Roaming/depts/D_QUALITY_CONTROL/01-%20Organization%20&amp;%20Responsibility/013-Inspection%20Operation/0134-Regulation/01_Calibration/Requesty/Kalibrace/&#268;MI" TargetMode="External"/><Relationship Id="rId88" Type="http://schemas.openxmlformats.org/officeDocument/2006/relationships/hyperlink" Target="https://toyotaeu-my.sharepoint.com/personal/andrea_bucankova_toyotacz_com/AppData/Roaming/depts/D_QUALITY_CONTROL/01-%20Organization%20&amp;%20Responsibility/013-Inspection%20Operation/0134-Regulation/01_Calibration/Requesty/Kalibrace/&#268;MI" TargetMode="External"/><Relationship Id="rId91" Type="http://schemas.openxmlformats.org/officeDocument/2006/relationships/hyperlink" Target="https://toyotaeu-my.sharepoint.com/personal/andrea_bucankova_toyotacz_com/AppData/Roaming/depts/D_QUALITY_CONTROL/01-%20Organization%20&amp;%20Responsibility/013-Inspection%20Operation/0134-Regulation/01_Calibration/Requesty/Kalibrace/&#268;MI" TargetMode="External"/><Relationship Id="rId96" Type="http://schemas.openxmlformats.org/officeDocument/2006/relationships/hyperlink" Target="https://toyotaeu-my.sharepoint.com/personal/andrea_bucankova_toyotacz_com/AppData/Roaming/depts/D_QUALITY_CONTROL/01-%20Organization%20&amp;%20Responsibility/013-Inspection%20Operation/0134-Regulation/01_Calibration/Requesty/Kalibrace/&#268;MI" TargetMode="External"/><Relationship Id="rId111" Type="http://schemas.openxmlformats.org/officeDocument/2006/relationships/hyperlink" Target="https://toyotaeu-my.sharepoint.com/personal/andrea_bucankova_toyotacz_com/AppData/Roaming/depts/D_QUALITY_CONTROL/01-%20Organization%20&amp;%20Responsibility/013-Inspection%20Operation/0134-Regulation/01_Calibration/Requesty/Kalibrace/&#268;MI" TargetMode="External"/><Relationship Id="rId132" Type="http://schemas.openxmlformats.org/officeDocument/2006/relationships/hyperlink" Target="https://toyotaeu-my.sharepoint.com/personal/andrea_bucankova_toyotacz_com/AppData/Roaming/depts/D_QUALITY_CONTROL/01-%20Organization%20&amp;%20Responsibility/013-Inspection%20Operation/0134-Regulation/01_Calibration/Requesty/Kalibrace/&#268;MI" TargetMode="External"/><Relationship Id="rId140" Type="http://schemas.openxmlformats.org/officeDocument/2006/relationships/vmlDrawing" Target="../drawings/vmlDrawing1.vml"/><Relationship Id="rId1" Type="http://schemas.openxmlformats.org/officeDocument/2006/relationships/hyperlink" Target="https://toyotaeu-my.sharepoint.com/personal/andrea_bucankova_toyotacz_com/AppData/Roaming/depts/D_QUALITY_CONTROL/01-%20Organization%20&amp;%20Responsibility/013-Inspection%20Operation/0134-Regulation/01_Calibration/Requesty/Kalibrace/&#268;MI" TargetMode="External"/><Relationship Id="rId6" Type="http://schemas.openxmlformats.org/officeDocument/2006/relationships/hyperlink" Target="https://toyotaeu-my.sharepoint.com/personal/andrea_bucankova_toyotacz_com/AppData/Roaming/depts/D_QUALITY_CONTROL/01-%20Organization%20&amp;%20Responsibility/013-Inspection%20Operation/0134-Regulation/01_Calibration/Requesty/Kalibrace/&#268;MI" TargetMode="External"/><Relationship Id="rId15" Type="http://schemas.openxmlformats.org/officeDocument/2006/relationships/hyperlink" Target="https://toyotaeu-my.sharepoint.com/personal/andrea_bucankova_toyotacz_com/AppData/Roaming/depts/D_QUALITY_CONTROL/01-%20Organization%20&amp;%20Responsibility/013-Inspection%20Operation/0134-Regulation/01_Calibration/Requesty/Kalibrace/&#268;MI" TargetMode="External"/><Relationship Id="rId23" Type="http://schemas.openxmlformats.org/officeDocument/2006/relationships/hyperlink" Target="https://toyotaeu-my.sharepoint.com/personal/andrea_bucankova_toyotacz_com/AppData/Roaming/depts/D_QUALITY_CONTROL/01-%20Organization%20&amp;%20Responsibility/013-Inspection%20Operation/0134-Regulation/01_Calibration/Requesty/Kalibrace/&#268;MI" TargetMode="External"/><Relationship Id="rId28" Type="http://schemas.openxmlformats.org/officeDocument/2006/relationships/hyperlink" Target="https://toyotaeu-my.sharepoint.com/personal/andrea_bucankova_toyotacz_com/AppData/Roaming/depts/D_QUALITY_CONTROL/01-%20Organization%20&amp;%20Responsibility/013-Inspection%20Operation/0134-Regulation/01_Calibration/Requesty/Kalibrace/&#268;MI" TargetMode="External"/><Relationship Id="rId36" Type="http://schemas.openxmlformats.org/officeDocument/2006/relationships/hyperlink" Target="https://toyotaeu-my.sharepoint.com/personal/andrea_bucankova_toyotacz_com/AppData/Roaming/depts/D_QUALITY_CONTROL/01-%20Organization%20&amp;%20Responsibility/013-Inspection%20Operation/0134-Regulation/01_Calibration/Requesty/Kalibrace/&#268;MI" TargetMode="External"/><Relationship Id="rId49" Type="http://schemas.openxmlformats.org/officeDocument/2006/relationships/hyperlink" Target="https://toyotaeu-my.sharepoint.com/personal/andrea_bucankova_toyotacz_com/AppData/Roaming/depts/D_QUALITY_CONTROL/01-%20Organization%20&amp;%20Responsibility/013-Inspection%20Operation/0134-Regulation/01_Calibration/Requesty/Kalibrace/&#268;MI" TargetMode="External"/><Relationship Id="rId57" Type="http://schemas.openxmlformats.org/officeDocument/2006/relationships/hyperlink" Target="https://toyotaeu-my.sharepoint.com/personal/andrea_bucankova_toyotacz_com/AppData/Roaming/depts/D_QUALITY_CONTROL/01-%20Organization%20&amp;%20Responsibility/013-Inspection%20Operation/0134-Regulation/01_Calibration/Requesty/Kalibrace/&#268;MI" TargetMode="External"/><Relationship Id="rId106" Type="http://schemas.openxmlformats.org/officeDocument/2006/relationships/hyperlink" Target="https://toyotaeu-my.sharepoint.com/personal/andrea_bucankova_toyotacz_com/AppData/Roaming/depts/D_QUALITY_CONTROL/01-%20Organization%20&amp;%20Responsibility/013-Inspection%20Operation/0134-Regulation/01_Calibration/Requesty/Kalibrace/&#268;MI" TargetMode="External"/><Relationship Id="rId114" Type="http://schemas.openxmlformats.org/officeDocument/2006/relationships/hyperlink" Target="https://toyotaeu-my.sharepoint.com/personal/andrea_bucankova_toyotacz_com/AppData/Roaming/depts/D_QUALITY_CONTROL/01-%20Organization%20&amp;%20Responsibility/013-Inspection%20Operation/0134-Regulation/01_Calibration/Requesty/Kalibrace/&#268;MI" TargetMode="External"/><Relationship Id="rId119" Type="http://schemas.openxmlformats.org/officeDocument/2006/relationships/hyperlink" Target="https://toyotaeu-my.sharepoint.com/personal/andrea_bucankova_toyotacz_com/AppData/Roaming/depts/D_QUALITY_CONTROL/01-%20Organization%20&amp;%20Responsibility/013-Inspection%20Operation/0134-Regulation/01_Calibration/Requesty/Kalibrace/&#268;MI" TargetMode="External"/><Relationship Id="rId127" Type="http://schemas.openxmlformats.org/officeDocument/2006/relationships/hyperlink" Target="https://toyotaeu-my.sharepoint.com/personal/andrea_bucankova_toyotacz_com/AppData/Roaming/depts/D_QUALITY_CONTROL/01-%20Organization%20&amp;%20Responsibility/013-Inspection%20Operation/0134-Regulation/01_Calibration/Requesty/Kalibrace/&#268;MI" TargetMode="External"/><Relationship Id="rId10" Type="http://schemas.openxmlformats.org/officeDocument/2006/relationships/hyperlink" Target="https://toyotaeu-my.sharepoint.com/personal/andrea_bucankova_toyotacz_com/AppData/Roaming/depts/D_QUALITY_CONTROL/01-%20Organization%20&amp;%20Responsibility/013-Inspection%20Operation/0134-Regulation/01_Calibration/Requesty/Kalibrace/&#268;MI" TargetMode="External"/><Relationship Id="rId31" Type="http://schemas.openxmlformats.org/officeDocument/2006/relationships/hyperlink" Target="https://toyotaeu-my.sharepoint.com/personal/andrea_bucankova_toyotacz_com/AppData/Roaming/depts/D_QUALITY_CONTROL/01-%20Organization%20&amp;%20Responsibility/013-Inspection%20Operation/0134-Regulation/01_Calibration/Requesty/Kalibrace/&#268;MI" TargetMode="External"/><Relationship Id="rId44" Type="http://schemas.openxmlformats.org/officeDocument/2006/relationships/hyperlink" Target="https://toyotaeu-my.sharepoint.com/personal/andrea_bucankova_toyotacz_com/AppData/Roaming/depts/D_QUALITY_CONTROL/01-%20Organization%20&amp;%20Responsibility/013-Inspection%20Operation/0134-Regulation/01_Calibration/Requesty/Kalibrace/&#268;MI" TargetMode="External"/><Relationship Id="rId52" Type="http://schemas.openxmlformats.org/officeDocument/2006/relationships/hyperlink" Target="https://toyotaeu-my.sharepoint.com/personal/andrea_bucankova_toyotacz_com/AppData/Roaming/depts/D_QUALITY_CONTROL/01-%20Organization%20&amp;%20Responsibility/013-Inspection%20Operation/0134-Regulation/01_Calibration/Requesty/Kalibrace/&#268;MI" TargetMode="External"/><Relationship Id="rId60" Type="http://schemas.openxmlformats.org/officeDocument/2006/relationships/hyperlink" Target="https://toyotaeu-my.sharepoint.com/personal/andrea_bucankova_toyotacz_com/AppData/Roaming/depts/D_QUALITY_CONTROL/01-%20Organization%20&amp;%20Responsibility/013-Inspection%20Operation/0134-Regulation/01_Calibration/Requesty/Kalibrace/&#268;MI" TargetMode="External"/><Relationship Id="rId65" Type="http://schemas.openxmlformats.org/officeDocument/2006/relationships/hyperlink" Target="https://toyotaeu-my.sharepoint.com/personal/andrea_bucankova_toyotacz_com/AppData/Roaming/depts/D_QUALITY_CONTROL/01-%20Organization%20&amp;%20Responsibility/013-Inspection%20Operation/0134-Regulation/01_Calibration/Requesty/Kalibrace/&#268;MI" TargetMode="External"/><Relationship Id="rId73" Type="http://schemas.openxmlformats.org/officeDocument/2006/relationships/hyperlink" Target="https://toyotaeu-my.sharepoint.com/personal/andrea_bucankova_toyotacz_com/AppData/Roaming/depts/D_QUALITY_CONTROL/01-%20Organization%20&amp;%20Responsibility/013-Inspection%20Operation/0134-Regulation/01_Calibration/Requesty/Kalibrace/&#268;MI" TargetMode="External"/><Relationship Id="rId78" Type="http://schemas.openxmlformats.org/officeDocument/2006/relationships/hyperlink" Target="https://toyotaeu-my.sharepoint.com/personal/andrea_bucankova_toyotacz_com/AppData/Roaming/depts/D_QUALITY_CONTROL/01-%20Organization%20&amp;%20Responsibility/013-Inspection%20Operation/0134-Regulation/01_Calibration/Requesty/Kalibrace/&#268;MI" TargetMode="External"/><Relationship Id="rId81" Type="http://schemas.openxmlformats.org/officeDocument/2006/relationships/hyperlink" Target="https://toyotaeu-my.sharepoint.com/personal/andrea_bucankova_toyotacz_com/AppData/Roaming/depts/D_QUALITY_CONTROL/01-%20Organization%20&amp;%20Responsibility/013-Inspection%20Operation/0134-Regulation/01_Calibration/Requesty/Kalibrace/&#268;MI" TargetMode="External"/><Relationship Id="rId86" Type="http://schemas.openxmlformats.org/officeDocument/2006/relationships/hyperlink" Target="https://toyotaeu-my.sharepoint.com/personal/andrea_bucankova_toyotacz_com/AppData/Roaming/depts/D_QUALITY_CONTROL/01-%20Organization%20&amp;%20Responsibility/013-Inspection%20Operation/0134-Regulation/01_Calibration/Requesty/Kalibrace/&#268;MI" TargetMode="External"/><Relationship Id="rId94" Type="http://schemas.openxmlformats.org/officeDocument/2006/relationships/hyperlink" Target="https://toyotaeu-my.sharepoint.com/personal/andrea_bucankova_toyotacz_com/AppData/Roaming/depts/D_QUALITY_CONTROL/01-%20Organization%20&amp;%20Responsibility/013-Inspection%20Operation/0134-Regulation/01_Calibration/Requesty/Kalibrace/&#268;MI" TargetMode="External"/><Relationship Id="rId99" Type="http://schemas.openxmlformats.org/officeDocument/2006/relationships/hyperlink" Target="https://toyotaeu-my.sharepoint.com/personal/andrea_bucankova_toyotacz_com/AppData/Roaming/depts/D_QUALITY_CONTROL/01-%20Organization%20&amp;%20Responsibility/013-Inspection%20Operation/0134-Regulation/01_Calibration/Requesty/Kalibrace/&#268;MI" TargetMode="External"/><Relationship Id="rId101" Type="http://schemas.openxmlformats.org/officeDocument/2006/relationships/hyperlink" Target="https://toyotaeu-my.sharepoint.com/personal/andrea_bucankova_toyotacz_com/AppData/Roaming/depts/D_QUALITY_CONTROL/01-%20Organization%20&amp;%20Responsibility/013-Inspection%20Operation/0134-Regulation/01_Calibration/Requesty/Kalibrace/&#268;MI" TargetMode="External"/><Relationship Id="rId122" Type="http://schemas.openxmlformats.org/officeDocument/2006/relationships/hyperlink" Target="https://toyotaeu-my.sharepoint.com/personal/andrea_bucankova_toyotacz_com/AppData/Roaming/depts/D_QUALITY_CONTROL/01-%20Organization%20&amp;%20Responsibility/013-Inspection%20Operation/0134-Regulation/01_Calibration/Requesty/Kalibrace/&#268;MI" TargetMode="External"/><Relationship Id="rId130" Type="http://schemas.openxmlformats.org/officeDocument/2006/relationships/hyperlink" Target="https://toyotaeu-my.sharepoint.com/personal/andrea_bucankova_toyotacz_com/AppData/Roaming/depts/D_QUALITY_CONTROL/01-%20Organization%20&amp;%20Responsibility/013-Inspection%20Operation/0134-Regulation/01_Calibration/Requesty/Kalibrace/&#268;MI" TargetMode="External"/><Relationship Id="rId135" Type="http://schemas.openxmlformats.org/officeDocument/2006/relationships/hyperlink" Target="https://toyotaeu-my.sharepoint.com/personal/andrea_bucankova_toyotacz_com/AppData/Roaming/depts/D_QUALITY_CONTROL/01-%20Organization%20&amp;%20Responsibility/013-Inspection%20Operation/0134-Regulation/01_Calibration/Requesty/Kalibrace/&#268;MI" TargetMode="External"/><Relationship Id="rId4" Type="http://schemas.openxmlformats.org/officeDocument/2006/relationships/hyperlink" Target="https://toyotaeu-my.sharepoint.com/personal/andrea_bucankova_toyotacz_com/AppData/Roaming/depts/D_QUALITY_CONTROL/01-%20Organization%20&amp;%20Responsibility/013-Inspection%20Operation/0134-Regulation/01_Calibration/Requesty/Kalibrace/&#268;MI" TargetMode="External"/><Relationship Id="rId9" Type="http://schemas.openxmlformats.org/officeDocument/2006/relationships/hyperlink" Target="https://toyotaeu-my.sharepoint.com/personal/andrea_bucankova_toyotacz_com/AppData/Roaming/depts/D_QUALITY_CONTROL/01-%20Organization%20&amp;%20Responsibility/013-Inspection%20Operation/0134-Regulation/01_Calibration/Requesty/Kalibrace/&#268;MI" TargetMode="External"/><Relationship Id="rId13" Type="http://schemas.openxmlformats.org/officeDocument/2006/relationships/hyperlink" Target="https://toyotaeu-my.sharepoint.com/personal/andrea_bucankova_toyotacz_com/AppData/Roaming/depts/D_QUALITY_CONTROL/01-%20Organization%20&amp;%20Responsibility/013-Inspection%20Operation/0134-Regulation/01_Calibration/Requesty/Kalibrace/&#268;MI" TargetMode="External"/><Relationship Id="rId18" Type="http://schemas.openxmlformats.org/officeDocument/2006/relationships/hyperlink" Target="https://toyotaeu-my.sharepoint.com/personal/andrea_bucankova_toyotacz_com/AppData/Roaming/depts/D_QUALITY_CONTROL/01-%20Organization%20&amp;%20Responsibility/013-Inspection%20Operation/0134-Regulation/01_Calibration/Requesty/Kalibrace/&#268;MI" TargetMode="External"/><Relationship Id="rId39" Type="http://schemas.openxmlformats.org/officeDocument/2006/relationships/hyperlink" Target="https://toyotaeu-my.sharepoint.com/personal/andrea_bucankova_toyotacz_com/AppData/Roaming/depts/D_QUALITY_CONTROL/01-%20Organization%20&amp;%20Responsibility/013-Inspection%20Operation/0134-Regulation/01_Calibration/Requesty/Kalibrace/&#268;MI" TargetMode="External"/><Relationship Id="rId109" Type="http://schemas.openxmlformats.org/officeDocument/2006/relationships/hyperlink" Target="https://toyotaeu-my.sharepoint.com/personal/andrea_bucankova_toyotacz_com/AppData/Roaming/depts/D_QUALITY_CONTROL/01-%20Organization%20&amp;%20Responsibility/013-Inspection%20Operation/0134-Regulation/01_Calibration/Requesty/Kalibrace/&#268;MI" TargetMode="External"/><Relationship Id="rId34" Type="http://schemas.openxmlformats.org/officeDocument/2006/relationships/hyperlink" Target="https://toyotaeu-my.sharepoint.com/personal/andrea_bucankova_toyotacz_com/AppData/Roaming/depts/D_QUALITY_CONTROL/01-%20Organization%20&amp;%20Responsibility/013-Inspection%20Operation/0134-Regulation/01_Calibration/Requesty/Kalibrace/&#268;MI" TargetMode="External"/><Relationship Id="rId50" Type="http://schemas.openxmlformats.org/officeDocument/2006/relationships/hyperlink" Target="https://toyotaeu-my.sharepoint.com/personal/andrea_bucankova_toyotacz_com/AppData/Roaming/depts/D_QUALITY_CONTROL/01-%20Organization%20&amp;%20Responsibility/013-Inspection%20Operation/0134-Regulation/01_Calibration/Requesty/Kalibrace/&#268;MI" TargetMode="External"/><Relationship Id="rId55" Type="http://schemas.openxmlformats.org/officeDocument/2006/relationships/hyperlink" Target="https://toyotaeu-my.sharepoint.com/personal/andrea_bucankova_toyotacz_com/AppData/Roaming/depts/D_QUALITY_CONTROL/01-%20Organization%20&amp;%20Responsibility/013-Inspection%20Operation/0134-Regulation/01_Calibration/Requesty/Kalibrace/&#268;MI" TargetMode="External"/><Relationship Id="rId76" Type="http://schemas.openxmlformats.org/officeDocument/2006/relationships/hyperlink" Target="https://toyotaeu-my.sharepoint.com/personal/andrea_bucankova_toyotacz_com/AppData/Roaming/depts/D_QUALITY_CONTROL/01-%20Organization%20&amp;%20Responsibility/013-Inspection%20Operation/0134-Regulation/01_Calibration/Requesty/Kalibrace/&#268;MI" TargetMode="External"/><Relationship Id="rId97" Type="http://schemas.openxmlformats.org/officeDocument/2006/relationships/hyperlink" Target="https://toyotaeu-my.sharepoint.com/personal/andrea_bucankova_toyotacz_com/AppData/Roaming/depts/D_QUALITY_CONTROL/01-%20Organization%20&amp;%20Responsibility/013-Inspection%20Operation/0134-Regulation/01_Calibration/Requesty/Kalibrace/&#268;MI" TargetMode="External"/><Relationship Id="rId104" Type="http://schemas.openxmlformats.org/officeDocument/2006/relationships/hyperlink" Target="https://toyotaeu-my.sharepoint.com/personal/andrea_bucankova_toyotacz_com/AppData/Roaming/depts/D_QUALITY_CONTROL/01-%20Organization%20&amp;%20Responsibility/013-Inspection%20Operation/0134-Regulation/01_Calibration/Requesty/Kalibrace/&#268;MI" TargetMode="External"/><Relationship Id="rId120" Type="http://schemas.openxmlformats.org/officeDocument/2006/relationships/hyperlink" Target="https://toyotaeu-my.sharepoint.com/personal/andrea_bucankova_toyotacz_com/AppData/Roaming/depts/D_QUALITY_CONTROL/01-%20Organization%20&amp;%20Responsibility/013-Inspection%20Operation/0134-Regulation/01_Calibration/Requesty/Kalibrace/&#268;MI" TargetMode="External"/><Relationship Id="rId125" Type="http://schemas.openxmlformats.org/officeDocument/2006/relationships/hyperlink" Target="https://toyotaeu-my.sharepoint.com/personal/andrea_bucankova_toyotacz_com/AppData/Roaming/depts/D_QUALITY_CONTROL/01-%20Organization%20&amp;%20Responsibility/013-Inspection%20Operation/0134-Regulation/01_Calibration/Requesty/Kalibrace/&#268;MI" TargetMode="External"/><Relationship Id="rId141" Type="http://schemas.openxmlformats.org/officeDocument/2006/relationships/comments" Target="../comments1.xml"/><Relationship Id="rId7" Type="http://schemas.openxmlformats.org/officeDocument/2006/relationships/hyperlink" Target="https://toyotaeu-my.sharepoint.com/personal/andrea_bucankova_toyotacz_com/AppData/Roaming/depts/D_QUALITY_CONTROL/01-%20Organization%20&amp;%20Responsibility/013-Inspection%20Operation/0134-Regulation/01_Calibration/Requesty/Kalibrace/&#268;MI" TargetMode="External"/><Relationship Id="rId71" Type="http://schemas.openxmlformats.org/officeDocument/2006/relationships/hyperlink" Target="https://toyotaeu-my.sharepoint.com/personal/andrea_bucankova_toyotacz_com/AppData/Roaming/depts/D_QUALITY_CONTROL/01-%20Organization%20&amp;%20Responsibility/013-Inspection%20Operation/0134-Regulation/01_Calibration/Requesty/Kalibrace/EXTEC%20%20(CONSY)" TargetMode="External"/><Relationship Id="rId92" Type="http://schemas.openxmlformats.org/officeDocument/2006/relationships/hyperlink" Target="https://toyotaeu-my.sharepoint.com/personal/andrea_bucankova_toyotacz_com/AppData/Roaming/depts/D_QUALITY_CONTROL/01-%20Organization%20&amp;%20Responsibility/013-Inspection%20Operation/0134-Regulation/01_Calibration/Requesty/Kalibrace/&#268;MI" TargetMode="External"/><Relationship Id="rId2" Type="http://schemas.openxmlformats.org/officeDocument/2006/relationships/hyperlink" Target="https://toyotaeu-my.sharepoint.com/personal/andrea_bucankova_toyotacz_com/AppData/Roaming/depts/D_QUALITY_CONTROL/01-%20Organization%20&amp;%20Responsibility/013-Inspection%20Operation/0134-Regulation/01_Calibration/Requesty/Kalibrace/&#268;MI" TargetMode="External"/><Relationship Id="rId29" Type="http://schemas.openxmlformats.org/officeDocument/2006/relationships/hyperlink" Target="https://toyotaeu-my.sharepoint.com/personal/andrea_bucankova_toyotacz_com/AppData/Roaming/depts/D_QUALITY_CONTROL/01-%20Organization%20&amp;%20Responsibility/013-Inspection%20Operation/0134-Regulation/01_Calibration/Requesty/Kalibrace/&#268;MI" TargetMode="External"/><Relationship Id="rId24" Type="http://schemas.openxmlformats.org/officeDocument/2006/relationships/hyperlink" Target="https://toyotaeu-my.sharepoint.com/personal/andrea_bucankova_toyotacz_com/AppData/Roaming/depts/D_QUALITY_CONTROL/01-%20Organization%20&amp;%20Responsibility/013-Inspection%20Operation/0134-Regulation/01_Calibration/Requesty/Kalibrace/&#268;MI" TargetMode="External"/><Relationship Id="rId40" Type="http://schemas.openxmlformats.org/officeDocument/2006/relationships/hyperlink" Target="https://toyotaeu-my.sharepoint.com/personal/andrea_bucankova_toyotacz_com/AppData/Roaming/depts/D_QUALITY_CONTROL/01-%20Organization%20&amp;%20Responsibility/013-Inspection%20Operation/0134-Regulation/01_Calibration/Requesty/Kalibrace/&#268;MI" TargetMode="External"/><Relationship Id="rId45" Type="http://schemas.openxmlformats.org/officeDocument/2006/relationships/hyperlink" Target="https://toyotaeu-my.sharepoint.com/personal/andrea_bucankova_toyotacz_com/AppData/Roaming/depts/D_QUALITY_CONTROL/01-%20Organization%20&amp;%20Responsibility/013-Inspection%20Operation/0134-Regulation/01_Calibration/Requesty/Kalibrace/&#268;MI" TargetMode="External"/><Relationship Id="rId66" Type="http://schemas.openxmlformats.org/officeDocument/2006/relationships/hyperlink" Target="https://toyotaeu-my.sharepoint.com/personal/andrea_bucankova_toyotacz_com/AppData/Roaming/depts/D_QUALITY_CONTROL/01-%20Organization%20&amp;%20Responsibility/013-Inspection%20Operation/0134-Regulation/01_Calibration/Requesty/Kalibrace/&#268;MI" TargetMode="External"/><Relationship Id="rId87" Type="http://schemas.openxmlformats.org/officeDocument/2006/relationships/hyperlink" Target="https://toyotaeu-my.sharepoint.com/personal/andrea_bucankova_toyotacz_com/AppData/Roaming/depts/D_QUALITY_CONTROL/01-%20Organization%20&amp;%20Responsibility/013-Inspection%20Operation/0134-Regulation/01_Calibration/Requesty/Kalibrace/&#268;MI" TargetMode="External"/><Relationship Id="rId110" Type="http://schemas.openxmlformats.org/officeDocument/2006/relationships/hyperlink" Target="https://toyotaeu-my.sharepoint.com/personal/andrea_bucankova_toyotacz_com/AppData/Roaming/depts/D_QUALITY_CONTROL/01-%20Organization%20&amp;%20Responsibility/013-Inspection%20Operation/0134-Regulation/01_Calibration/Requesty/Kalibrace/&#268;MI" TargetMode="External"/><Relationship Id="rId115" Type="http://schemas.openxmlformats.org/officeDocument/2006/relationships/hyperlink" Target="https://toyotaeu-my.sharepoint.com/personal/andrea_bucankova_toyotacz_com/AppData/Roaming/depts/D_QUALITY_CONTROL/01-%20Organization%20&amp;%20Responsibility/013-Inspection%20Operation/0134-Regulation/01_Calibration/Requesty/Kalibrace/&#268;MI" TargetMode="External"/><Relationship Id="rId131" Type="http://schemas.openxmlformats.org/officeDocument/2006/relationships/hyperlink" Target="https://toyotaeu-my.sharepoint.com/personal/andrea_bucankova_toyotacz_com/AppData/Roaming/depts/D_QUALITY_CONTROL/01-%20Organization%20&amp;%20Responsibility/013-Inspection%20Operation/0134-Regulation/01_Calibration/Requesty/Kalibrace/&#268;MI" TargetMode="External"/><Relationship Id="rId136" Type="http://schemas.openxmlformats.org/officeDocument/2006/relationships/hyperlink" Target="https://toyotaeu-my.sharepoint.com/personal/andrea_bucankova_toyotacz_com/AppData/Roaming/depts/D_QUALITY_CONTROL/01-%20Organization%20&amp;%20Responsibility/013-Inspection%20Operation/0134-Regulation/01_Calibration/Requesty/Kalibrace/&#268;MI" TargetMode="External"/><Relationship Id="rId61" Type="http://schemas.openxmlformats.org/officeDocument/2006/relationships/hyperlink" Target="https://toyotaeu-my.sharepoint.com/personal/andrea_bucankova_toyotacz_com/AppData/Roaming/depts/D_QUALITY_CONTROL/01-%20Organization%20&amp;%20Responsibility/013-Inspection%20Operation/0134-Regulation/01_Calibration/Requesty/Kalibrace/&#268;MI" TargetMode="External"/><Relationship Id="rId82" Type="http://schemas.openxmlformats.org/officeDocument/2006/relationships/hyperlink" Target="https://toyotaeu-my.sharepoint.com/personal/andrea_bucankova_toyotacz_com/AppData/Roaming/depts/D_QUALITY_CONTROL/01-%20Organization%20&amp;%20Responsibility/013-Inspection%20Operation/0134-Regulation/01_Calibration/Requesty/Kalibrace/&#268;MI" TargetMode="External"/><Relationship Id="rId19" Type="http://schemas.openxmlformats.org/officeDocument/2006/relationships/hyperlink" Target="https://toyotaeu-my.sharepoint.com/personal/andrea_bucankova_toyotacz_com/AppData/Roaming/depts/D_QUALITY_CONTROL/01-%20Organization%20&amp;%20Responsibility/013-Inspection%20Operation/0134-Regulation/01_Calibration/Requesty/Kalibrace/&#268;MI" TargetMode="External"/><Relationship Id="rId14" Type="http://schemas.openxmlformats.org/officeDocument/2006/relationships/hyperlink" Target="https://toyotaeu-my.sharepoint.com/personal/andrea_bucankova_toyotacz_com/AppData/Roaming/depts/D_QUALITY_CONTROL/01-%20Organization%20&amp;%20Responsibility/013-Inspection%20Operation/0134-Regulation/01_Calibration/Requesty/Kalibrace/&#268;MI" TargetMode="External"/><Relationship Id="rId30" Type="http://schemas.openxmlformats.org/officeDocument/2006/relationships/hyperlink" Target="https://toyotaeu-my.sharepoint.com/personal/andrea_bucankova_toyotacz_com/AppData/Roaming/depts/D_QUALITY_CONTROL/01-%20Organization%20&amp;%20Responsibility/013-Inspection%20Operation/0134-Regulation/01_Calibration/Requesty/Kalibrace/&#268;MI" TargetMode="External"/><Relationship Id="rId35" Type="http://schemas.openxmlformats.org/officeDocument/2006/relationships/hyperlink" Target="https://toyotaeu-my.sharepoint.com/personal/andrea_bucankova_toyotacz_com/AppData/Roaming/depts/D_QUALITY_CONTROL/01-%20Organization%20&amp;%20Responsibility/013-Inspection%20Operation/0134-Regulation/01_Calibration/Requesty/Kalibrace/&#268;MI" TargetMode="External"/><Relationship Id="rId56" Type="http://schemas.openxmlformats.org/officeDocument/2006/relationships/hyperlink" Target="https://toyotaeu-my.sharepoint.com/personal/andrea_bucankova_toyotacz_com/AppData/Roaming/depts/D_QUALITY_CONTROL/01-%20Organization%20&amp;%20Responsibility/013-Inspection%20Operation/0134-Regulation/01_Calibration/Requesty/Kalibrace/&#268;MI" TargetMode="External"/><Relationship Id="rId77" Type="http://schemas.openxmlformats.org/officeDocument/2006/relationships/hyperlink" Target="https://toyotaeu-my.sharepoint.com/personal/andrea_bucankova_toyotacz_com/AppData/Roaming/depts/D_QUALITY_CONTROL/01-%20Organization%20&amp;%20Responsibility/013-Inspection%20Operation/0134-Regulation/01_Calibration/Requesty/Kalibrace/&#268;MI" TargetMode="External"/><Relationship Id="rId100" Type="http://schemas.openxmlformats.org/officeDocument/2006/relationships/hyperlink" Target="https://toyotaeu-my.sharepoint.com/personal/andrea_bucankova_toyotacz_com/AppData/Roaming/depts/D_QUALITY_CONTROL/01-%20Organization%20&amp;%20Responsibility/013-Inspection%20Operation/0134-Regulation/01_Calibration/Requesty/Kalibrace/&#268;MI" TargetMode="External"/><Relationship Id="rId105" Type="http://schemas.openxmlformats.org/officeDocument/2006/relationships/hyperlink" Target="https://toyotaeu-my.sharepoint.com/personal/andrea_bucankova_toyotacz_com/AppData/Roaming/depts/D_QUALITY_CONTROL/01-%20Organization%20&amp;%20Responsibility/013-Inspection%20Operation/0134-Regulation/01_Calibration/Requesty/Kalibrace/&#268;MI" TargetMode="External"/><Relationship Id="rId126" Type="http://schemas.openxmlformats.org/officeDocument/2006/relationships/hyperlink" Target="https://toyotaeu-my.sharepoint.com/personal/andrea_bucankova_toyotacz_com/AppData/Roaming/depts/D_QUALITY_CONTROL/01-%20Organization%20&amp;%20Responsibility/013-Inspection%20Operation/0134-Regulation/01_Calibration/Requesty/Kalibrace/&#268;M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C262"/>
  <sheetViews>
    <sheetView tabSelected="1" zoomScale="80" zoomScaleNormal="80" workbookViewId="0">
      <pane xSplit="3" ySplit="4" topLeftCell="H5" activePane="bottomRight" state="frozen"/>
      <selection pane="topRight" activeCell="D1" sqref="D1"/>
      <selection pane="bottomLeft" activeCell="A5" sqref="A5"/>
      <selection pane="bottomRight" activeCell="W2" sqref="W2"/>
    </sheetView>
  </sheetViews>
  <sheetFormatPr defaultRowHeight="15"/>
  <cols>
    <col min="3" max="3" width="42.140625" bestFit="1" customWidth="1"/>
    <col min="5" max="5" width="9.85546875" bestFit="1" customWidth="1"/>
    <col min="6" max="6" width="25" customWidth="1"/>
    <col min="12" max="12" width="29" customWidth="1"/>
    <col min="13" max="13" width="28.5703125" customWidth="1"/>
    <col min="14" max="14" width="16.7109375" bestFit="1" customWidth="1"/>
    <col min="15" max="15" width="14" style="166" customWidth="1"/>
    <col min="16" max="16" width="17" bestFit="1" customWidth="1"/>
    <col min="26" max="26" width="17.7109375" customWidth="1"/>
    <col min="27" max="27" width="11.28515625" bestFit="1" customWidth="1"/>
    <col min="28" max="28" width="18.28515625" customWidth="1"/>
    <col min="29" max="29" width="19.42578125" style="169" customWidth="1"/>
  </cols>
  <sheetData>
    <row r="1" spans="1:29" ht="177.75">
      <c r="A1" s="1" t="s">
        <v>0</v>
      </c>
      <c r="B1" s="2" t="s">
        <v>1</v>
      </c>
      <c r="C1" s="3" t="s">
        <v>2</v>
      </c>
      <c r="D1" s="132" t="s">
        <v>3</v>
      </c>
      <c r="E1" s="133" t="s">
        <v>4</v>
      </c>
      <c r="F1" s="134" t="s">
        <v>5</v>
      </c>
      <c r="G1" s="135" t="s">
        <v>6</v>
      </c>
      <c r="H1" s="136" t="s">
        <v>428</v>
      </c>
      <c r="I1" s="136" t="s">
        <v>7</v>
      </c>
      <c r="J1" s="137" t="s">
        <v>8</v>
      </c>
      <c r="K1" s="138" t="s">
        <v>9</v>
      </c>
      <c r="L1" s="139" t="s">
        <v>10</v>
      </c>
      <c r="M1" s="139" t="s">
        <v>11</v>
      </c>
      <c r="N1" s="140" t="s">
        <v>12</v>
      </c>
      <c r="O1" s="152" t="s">
        <v>13</v>
      </c>
      <c r="P1" s="140" t="s">
        <v>14</v>
      </c>
      <c r="Q1" s="142">
        <v>2016</v>
      </c>
      <c r="R1" s="142">
        <v>2017</v>
      </c>
      <c r="S1" s="142">
        <v>2018</v>
      </c>
      <c r="T1" s="142">
        <v>2019</v>
      </c>
      <c r="U1" s="142">
        <v>2020</v>
      </c>
      <c r="V1" s="142">
        <v>2021</v>
      </c>
      <c r="W1" s="142">
        <v>2022</v>
      </c>
      <c r="X1" s="142">
        <v>2023</v>
      </c>
      <c r="Y1" s="142">
        <v>2024</v>
      </c>
      <c r="Z1" s="150" t="s">
        <v>429</v>
      </c>
      <c r="AA1" s="149">
        <v>2025</v>
      </c>
      <c r="AB1" s="149" t="s">
        <v>430</v>
      </c>
      <c r="AC1" s="167" t="s">
        <v>427</v>
      </c>
    </row>
    <row r="2" spans="1:29">
      <c r="A2" s="129"/>
      <c r="B2" s="130"/>
      <c r="C2" s="131"/>
      <c r="D2" s="172" t="s">
        <v>426</v>
      </c>
      <c r="E2" s="173"/>
      <c r="F2" s="173"/>
      <c r="G2" s="173"/>
      <c r="H2" s="173"/>
      <c r="I2" s="173"/>
      <c r="J2" s="173"/>
      <c r="K2" s="173"/>
      <c r="L2" s="173"/>
      <c r="M2" s="173"/>
      <c r="N2" s="173"/>
      <c r="O2" s="174"/>
      <c r="P2" s="141"/>
      <c r="Q2" s="143">
        <v>7.0000000000000001E-3</v>
      </c>
      <c r="R2" s="143">
        <v>2.5000000000000001E-2</v>
      </c>
      <c r="S2" s="143">
        <v>2.1000000000000001E-2</v>
      </c>
      <c r="T2" s="143">
        <v>2.8000000000000001E-2</v>
      </c>
      <c r="U2" s="143">
        <v>3.2000000000000001E-2</v>
      </c>
      <c r="V2" s="143">
        <v>3.7999999999999999E-2</v>
      </c>
      <c r="W2" s="144">
        <v>0.151</v>
      </c>
      <c r="X2" s="144">
        <v>0.107</v>
      </c>
      <c r="Y2" s="143">
        <v>0.02</v>
      </c>
      <c r="Z2" s="143"/>
      <c r="AA2" s="143"/>
      <c r="AB2" s="143"/>
      <c r="AC2" s="168"/>
    </row>
    <row r="3" spans="1:29">
      <c r="A3" s="129"/>
      <c r="B3" s="130"/>
      <c r="C3" s="131"/>
      <c r="D3" s="147"/>
      <c r="E3" s="148"/>
      <c r="F3" s="148"/>
      <c r="G3" s="148"/>
      <c r="H3" s="148"/>
      <c r="I3" s="148"/>
      <c r="J3" s="148"/>
      <c r="K3" s="148"/>
      <c r="L3" s="148"/>
      <c r="M3" s="148"/>
      <c r="N3" s="148"/>
      <c r="O3" s="153"/>
      <c r="P3" s="141"/>
      <c r="Q3" s="110">
        <v>7.0000000000000001E-3</v>
      </c>
      <c r="R3" s="110">
        <v>2.5000000000000001E-2</v>
      </c>
      <c r="S3" s="110">
        <v>2.1000000000000001E-2</v>
      </c>
      <c r="T3" s="110">
        <v>2.8000000000000001E-2</v>
      </c>
      <c r="U3" s="110">
        <v>3.2000000000000001E-2</v>
      </c>
      <c r="V3" s="110">
        <v>3.7999999999999999E-2</v>
      </c>
      <c r="W3" s="110">
        <v>0.151</v>
      </c>
      <c r="X3" s="110">
        <v>0.107</v>
      </c>
      <c r="Y3" s="110">
        <v>0.02</v>
      </c>
      <c r="Z3" s="151">
        <f t="shared" ref="Z3:Z16" si="0">+Y3*(1+$X$3)</f>
        <v>2.214E-2</v>
      </c>
      <c r="AA3" s="151">
        <f t="shared" ref="AA3:AA65" si="1">+Z3*(1+$Y$3)</f>
        <v>2.25828E-2</v>
      </c>
      <c r="AB3" s="151">
        <f t="shared" ref="AB3:AB65" si="2">ROUND(AA3,0)</f>
        <v>0</v>
      </c>
      <c r="AC3" s="168"/>
    </row>
    <row r="4" spans="1:29">
      <c r="A4" s="129"/>
      <c r="B4" s="130"/>
      <c r="C4" s="131"/>
      <c r="D4" s="147"/>
      <c r="E4" s="148"/>
      <c r="F4" s="148"/>
      <c r="G4" s="148"/>
      <c r="H4" s="148"/>
      <c r="I4" s="148"/>
      <c r="J4" s="148"/>
      <c r="K4" s="148"/>
      <c r="L4" s="148"/>
      <c r="M4" s="148"/>
      <c r="N4" s="148"/>
      <c r="O4" s="153"/>
      <c r="P4" s="141">
        <v>100</v>
      </c>
      <c r="Q4" s="110"/>
      <c r="R4" s="110"/>
      <c r="S4" s="110"/>
      <c r="T4" s="110"/>
      <c r="U4" s="110"/>
      <c r="V4" s="110"/>
      <c r="W4" s="110"/>
      <c r="X4" s="110"/>
      <c r="Y4" s="110"/>
      <c r="Z4" s="151">
        <f t="shared" si="0"/>
        <v>0</v>
      </c>
      <c r="AA4" s="151">
        <f t="shared" si="1"/>
        <v>0</v>
      </c>
      <c r="AB4" s="151">
        <f t="shared" si="2"/>
        <v>0</v>
      </c>
      <c r="AC4" s="168"/>
    </row>
    <row r="5" spans="1:29">
      <c r="A5" s="4">
        <v>9</v>
      </c>
      <c r="B5" s="5"/>
      <c r="C5" s="6" t="s">
        <v>15</v>
      </c>
      <c r="D5" s="7" t="s">
        <v>16</v>
      </c>
      <c r="E5" s="11" t="s">
        <v>17</v>
      </c>
      <c r="F5" s="30" t="s">
        <v>18</v>
      </c>
      <c r="G5" s="13" t="s">
        <v>19</v>
      </c>
      <c r="H5" s="25">
        <v>45030</v>
      </c>
      <c r="I5" s="25">
        <v>45761</v>
      </c>
      <c r="J5" s="15">
        <v>25</v>
      </c>
      <c r="K5" s="16">
        <v>2</v>
      </c>
      <c r="L5" s="114" t="s">
        <v>20</v>
      </c>
      <c r="M5" s="17" t="s">
        <v>21</v>
      </c>
      <c r="N5" s="114" t="s">
        <v>22</v>
      </c>
      <c r="O5" s="154">
        <v>2369</v>
      </c>
      <c r="P5" s="19"/>
      <c r="Q5" s="110"/>
      <c r="R5" s="110"/>
      <c r="S5" s="110"/>
      <c r="T5" s="110"/>
      <c r="U5" s="110"/>
      <c r="V5" s="110"/>
      <c r="W5" s="110"/>
      <c r="X5" s="110">
        <v>1823</v>
      </c>
      <c r="Y5" s="151">
        <f>+X5*(1+$W$3)</f>
        <v>2098.2730000000001</v>
      </c>
      <c r="Z5" s="151">
        <f t="shared" si="0"/>
        <v>2322.788211</v>
      </c>
      <c r="AA5" s="151">
        <f t="shared" si="1"/>
        <v>2369.2439752200003</v>
      </c>
      <c r="AB5" s="151">
        <f t="shared" si="2"/>
        <v>2369</v>
      </c>
      <c r="AC5" s="168">
        <v>2369</v>
      </c>
    </row>
    <row r="6" spans="1:29">
      <c r="A6" s="8">
        <v>14</v>
      </c>
      <c r="B6" s="9"/>
      <c r="C6" s="10" t="s">
        <v>23</v>
      </c>
      <c r="D6" s="7" t="s">
        <v>16</v>
      </c>
      <c r="E6" s="11" t="s">
        <v>17</v>
      </c>
      <c r="F6" s="12"/>
      <c r="G6" s="13" t="s">
        <v>19</v>
      </c>
      <c r="H6" s="14">
        <v>45215</v>
      </c>
      <c r="I6" s="14">
        <v>45946</v>
      </c>
      <c r="J6" s="15">
        <v>25</v>
      </c>
      <c r="K6" s="16">
        <v>2</v>
      </c>
      <c r="L6" s="17" t="s">
        <v>24</v>
      </c>
      <c r="M6" s="18" t="s">
        <v>25</v>
      </c>
      <c r="N6" s="18" t="s">
        <v>26</v>
      </c>
      <c r="O6" s="154">
        <v>1755</v>
      </c>
      <c r="P6" s="19"/>
      <c r="Q6" s="110"/>
      <c r="R6" s="110"/>
      <c r="S6" s="110"/>
      <c r="T6" s="110"/>
      <c r="U6" s="110"/>
      <c r="V6" s="110"/>
      <c r="W6" s="110"/>
      <c r="X6" s="110">
        <v>1350</v>
      </c>
      <c r="Y6" s="151">
        <f>+X6*(1+$W$3)</f>
        <v>1553.8500000000001</v>
      </c>
      <c r="Z6" s="151">
        <f t="shared" si="0"/>
        <v>1720.1119500000002</v>
      </c>
      <c r="AA6" s="151">
        <f t="shared" si="1"/>
        <v>1754.5141890000002</v>
      </c>
      <c r="AB6" s="151">
        <f t="shared" si="2"/>
        <v>1755</v>
      </c>
      <c r="AC6" s="168">
        <v>1755</v>
      </c>
    </row>
    <row r="7" spans="1:29">
      <c r="A7" s="4">
        <v>32</v>
      </c>
      <c r="B7" s="5"/>
      <c r="C7" s="6" t="s">
        <v>23</v>
      </c>
      <c r="D7" s="7" t="s">
        <v>16</v>
      </c>
      <c r="E7" s="11" t="s">
        <v>17</v>
      </c>
      <c r="F7" s="38"/>
      <c r="G7" s="13" t="s">
        <v>19</v>
      </c>
      <c r="H7" s="14">
        <v>45118</v>
      </c>
      <c r="I7" s="14">
        <v>45849</v>
      </c>
      <c r="J7" s="15">
        <v>25</v>
      </c>
      <c r="K7" s="16">
        <v>2</v>
      </c>
      <c r="L7" s="17" t="s">
        <v>24</v>
      </c>
      <c r="M7" s="18" t="s">
        <v>25</v>
      </c>
      <c r="N7" s="18" t="s">
        <v>26</v>
      </c>
      <c r="O7" s="154">
        <v>1755</v>
      </c>
      <c r="P7" s="19"/>
      <c r="Q7" s="110"/>
      <c r="R7" s="110"/>
      <c r="S7" s="110"/>
      <c r="T7" s="110"/>
      <c r="U7" s="110"/>
      <c r="V7" s="110"/>
      <c r="W7" s="110"/>
      <c r="X7" s="110">
        <v>1350</v>
      </c>
      <c r="Y7" s="151">
        <f>+X7*(1+$W$3)</f>
        <v>1553.8500000000001</v>
      </c>
      <c r="Z7" s="151">
        <f t="shared" si="0"/>
        <v>1720.1119500000002</v>
      </c>
      <c r="AA7" s="151">
        <f t="shared" si="1"/>
        <v>1754.5141890000002</v>
      </c>
      <c r="AB7" s="151">
        <f t="shared" si="2"/>
        <v>1755</v>
      </c>
      <c r="AC7" s="168">
        <v>1755</v>
      </c>
    </row>
    <row r="8" spans="1:29">
      <c r="A8" s="8">
        <v>50</v>
      </c>
      <c r="B8" s="9"/>
      <c r="C8" s="10" t="s">
        <v>27</v>
      </c>
      <c r="D8" s="7" t="s">
        <v>16</v>
      </c>
      <c r="E8" s="11" t="s">
        <v>17</v>
      </c>
      <c r="F8" s="20" t="s">
        <v>28</v>
      </c>
      <c r="G8" s="13" t="s">
        <v>19</v>
      </c>
      <c r="H8" s="14">
        <v>45509</v>
      </c>
      <c r="I8" s="14">
        <v>45874</v>
      </c>
      <c r="J8" s="15">
        <v>25</v>
      </c>
      <c r="K8" s="21">
        <v>1</v>
      </c>
      <c r="L8" s="22">
        <v>2E-3</v>
      </c>
      <c r="M8" s="18" t="s">
        <v>29</v>
      </c>
      <c r="N8" s="22">
        <v>1E-3</v>
      </c>
      <c r="O8" s="154">
        <v>1612</v>
      </c>
      <c r="P8" s="19"/>
      <c r="Q8" s="110"/>
      <c r="R8" s="110"/>
      <c r="S8" s="110"/>
      <c r="T8" s="110"/>
      <c r="U8" s="110"/>
      <c r="V8" s="110"/>
      <c r="W8" s="110"/>
      <c r="X8" s="110"/>
      <c r="Y8" s="110">
        <v>1428</v>
      </c>
      <c r="Z8" s="151">
        <f t="shared" si="0"/>
        <v>1580.796</v>
      </c>
      <c r="AA8" s="151">
        <f t="shared" si="1"/>
        <v>1612.41192</v>
      </c>
      <c r="AB8" s="151">
        <f t="shared" si="2"/>
        <v>1612</v>
      </c>
      <c r="AC8" s="168">
        <v>1612</v>
      </c>
    </row>
    <row r="9" spans="1:29">
      <c r="A9" s="8">
        <v>121</v>
      </c>
      <c r="B9" s="9"/>
      <c r="C9" s="10" t="s">
        <v>30</v>
      </c>
      <c r="D9" s="7" t="s">
        <v>16</v>
      </c>
      <c r="E9" s="11" t="s">
        <v>17</v>
      </c>
      <c r="F9" s="23"/>
      <c r="G9" s="24" t="s">
        <v>19</v>
      </c>
      <c r="H9" s="14">
        <v>45065</v>
      </c>
      <c r="I9" s="25">
        <v>45796</v>
      </c>
      <c r="J9" s="15">
        <v>25</v>
      </c>
      <c r="K9" s="16">
        <v>2</v>
      </c>
      <c r="L9" s="18" t="s">
        <v>31</v>
      </c>
      <c r="M9" s="18" t="s">
        <v>32</v>
      </c>
      <c r="N9" s="18" t="s">
        <v>33</v>
      </c>
      <c r="O9" s="154">
        <v>548</v>
      </c>
      <c r="P9" s="19"/>
      <c r="Q9" s="110"/>
      <c r="R9" s="110"/>
      <c r="S9" s="110"/>
      <c r="T9" s="110"/>
      <c r="U9" s="110"/>
      <c r="V9" s="110"/>
      <c r="W9" s="110"/>
      <c r="X9" s="110">
        <v>422</v>
      </c>
      <c r="Y9" s="151">
        <f>+X9*(1+$W$3)</f>
        <v>485.72200000000004</v>
      </c>
      <c r="Z9" s="151">
        <f t="shared" si="0"/>
        <v>537.694254</v>
      </c>
      <c r="AA9" s="151">
        <f t="shared" si="1"/>
        <v>548.44813908000003</v>
      </c>
      <c r="AB9" s="151">
        <f t="shared" si="2"/>
        <v>548</v>
      </c>
      <c r="AC9" s="168">
        <v>548</v>
      </c>
    </row>
    <row r="10" spans="1:29">
      <c r="A10" s="8">
        <v>123</v>
      </c>
      <c r="B10" s="9"/>
      <c r="C10" s="26" t="s">
        <v>34</v>
      </c>
      <c r="D10" s="7" t="s">
        <v>16</v>
      </c>
      <c r="E10" s="11" t="s">
        <v>17</v>
      </c>
      <c r="F10" s="23"/>
      <c r="G10" s="27" t="s">
        <v>19</v>
      </c>
      <c r="H10" s="14">
        <v>45033</v>
      </c>
      <c r="I10" s="25">
        <v>45764</v>
      </c>
      <c r="J10" s="15">
        <v>25</v>
      </c>
      <c r="K10" s="16">
        <v>2</v>
      </c>
      <c r="L10" s="28" t="s">
        <v>35</v>
      </c>
      <c r="M10" s="18" t="s">
        <v>36</v>
      </c>
      <c r="N10" s="18" t="s">
        <v>37</v>
      </c>
      <c r="O10" s="154">
        <v>1446</v>
      </c>
      <c r="P10" s="19"/>
      <c r="Q10" s="110"/>
      <c r="R10" s="110"/>
      <c r="S10" s="110"/>
      <c r="T10" s="110"/>
      <c r="U10" s="110"/>
      <c r="V10" s="110"/>
      <c r="W10" s="110"/>
      <c r="X10" s="110">
        <v>1113</v>
      </c>
      <c r="Y10" s="151">
        <f>+X10*(1+$W$3)</f>
        <v>1281.0630000000001</v>
      </c>
      <c r="Z10" s="151">
        <f t="shared" si="0"/>
        <v>1418.136741</v>
      </c>
      <c r="AA10" s="151">
        <f t="shared" si="1"/>
        <v>1446.49947582</v>
      </c>
      <c r="AB10" s="151">
        <f t="shared" si="2"/>
        <v>1446</v>
      </c>
      <c r="AC10" s="168">
        <v>1446</v>
      </c>
    </row>
    <row r="11" spans="1:29">
      <c r="A11" s="8">
        <v>126</v>
      </c>
      <c r="B11" s="9"/>
      <c r="C11" s="10" t="s">
        <v>38</v>
      </c>
      <c r="D11" s="7" t="s">
        <v>16</v>
      </c>
      <c r="E11" s="11" t="s">
        <v>17</v>
      </c>
      <c r="F11" s="23" t="s">
        <v>39</v>
      </c>
      <c r="G11" s="13" t="s">
        <v>19</v>
      </c>
      <c r="H11" s="14">
        <v>45035</v>
      </c>
      <c r="I11" s="14">
        <v>45766</v>
      </c>
      <c r="J11" s="15">
        <v>25</v>
      </c>
      <c r="K11" s="16">
        <v>2</v>
      </c>
      <c r="L11" s="29" t="s">
        <v>40</v>
      </c>
      <c r="M11" s="17" t="s">
        <v>41</v>
      </c>
      <c r="N11" s="29" t="s">
        <v>42</v>
      </c>
      <c r="O11" s="154">
        <v>1401</v>
      </c>
      <c r="P11" s="19"/>
      <c r="Q11" s="110"/>
      <c r="R11" s="110"/>
      <c r="S11" s="110"/>
      <c r="T11" s="110"/>
      <c r="U11" s="110"/>
      <c r="V11" s="110"/>
      <c r="W11" s="110"/>
      <c r="X11" s="110">
        <v>1078</v>
      </c>
      <c r="Y11" s="151">
        <f>+X11*(1+$W$3)</f>
        <v>1240.778</v>
      </c>
      <c r="Z11" s="151">
        <f t="shared" si="0"/>
        <v>1373.541246</v>
      </c>
      <c r="AA11" s="151">
        <f t="shared" si="1"/>
        <v>1401.01207092</v>
      </c>
      <c r="AB11" s="151">
        <f t="shared" si="2"/>
        <v>1401</v>
      </c>
      <c r="AC11" s="168">
        <v>1401</v>
      </c>
    </row>
    <row r="12" spans="1:29">
      <c r="A12" s="8">
        <v>151</v>
      </c>
      <c r="B12" s="9"/>
      <c r="C12" s="10" t="s">
        <v>43</v>
      </c>
      <c r="D12" s="7" t="s">
        <v>16</v>
      </c>
      <c r="E12" s="11" t="s">
        <v>17</v>
      </c>
      <c r="F12" s="30" t="s">
        <v>39</v>
      </c>
      <c r="G12" s="13" t="s">
        <v>19</v>
      </c>
      <c r="H12" s="14">
        <v>45034</v>
      </c>
      <c r="I12" s="14">
        <v>45766</v>
      </c>
      <c r="J12" s="15">
        <v>25</v>
      </c>
      <c r="K12" s="16">
        <v>2</v>
      </c>
      <c r="L12" s="31" t="s">
        <v>44</v>
      </c>
      <c r="M12" s="18"/>
      <c r="N12" s="18"/>
      <c r="O12" s="154">
        <v>5803</v>
      </c>
      <c r="P12" s="19"/>
      <c r="Q12" s="110"/>
      <c r="R12" s="110"/>
      <c r="S12" s="110"/>
      <c r="T12" s="110"/>
      <c r="U12" s="110"/>
      <c r="V12" s="110"/>
      <c r="W12" s="110"/>
      <c r="X12" s="110">
        <v>4465</v>
      </c>
      <c r="Y12" s="151">
        <f>+X12*(1+$W$3)</f>
        <v>5139.2150000000001</v>
      </c>
      <c r="Z12" s="151">
        <f t="shared" si="0"/>
        <v>5689.1110049999997</v>
      </c>
      <c r="AA12" s="151">
        <f t="shared" si="1"/>
        <v>5802.8932250999997</v>
      </c>
      <c r="AB12" s="151">
        <f t="shared" si="2"/>
        <v>5803</v>
      </c>
      <c r="AC12" s="168">
        <v>5803</v>
      </c>
    </row>
    <row r="13" spans="1:29">
      <c r="A13" s="8">
        <v>167</v>
      </c>
      <c r="B13" s="10" t="s">
        <v>45</v>
      </c>
      <c r="C13" s="9" t="s">
        <v>46</v>
      </c>
      <c r="D13" s="7" t="s">
        <v>16</v>
      </c>
      <c r="E13" s="11" t="s">
        <v>17</v>
      </c>
      <c r="F13" s="12"/>
      <c r="G13" s="13" t="s">
        <v>19</v>
      </c>
      <c r="H13" s="14">
        <v>44728</v>
      </c>
      <c r="I13" s="14">
        <v>45824</v>
      </c>
      <c r="J13" s="15">
        <v>25</v>
      </c>
      <c r="K13" s="16">
        <v>3</v>
      </c>
      <c r="L13" s="32">
        <v>0.01</v>
      </c>
      <c r="M13" s="18" t="s">
        <v>47</v>
      </c>
      <c r="N13" s="18"/>
      <c r="O13" s="154">
        <v>6045</v>
      </c>
      <c r="P13" s="19"/>
      <c r="Q13" s="110"/>
      <c r="R13" s="110"/>
      <c r="S13" s="110"/>
      <c r="T13" s="110"/>
      <c r="U13" s="110"/>
      <c r="V13" s="110"/>
      <c r="W13" s="110">
        <v>4481</v>
      </c>
      <c r="X13" s="151">
        <f>+W13*(1+$V$3)</f>
        <v>4651.2780000000002</v>
      </c>
      <c r="Y13" s="151">
        <f>+X13*(1+$W$3)</f>
        <v>5353.6209780000008</v>
      </c>
      <c r="Z13" s="151">
        <f t="shared" si="0"/>
        <v>5926.4584226460011</v>
      </c>
      <c r="AA13" s="151">
        <f t="shared" si="1"/>
        <v>6044.9875910989213</v>
      </c>
      <c r="AB13" s="151">
        <f t="shared" si="2"/>
        <v>6045</v>
      </c>
      <c r="AC13" s="168">
        <v>6045</v>
      </c>
    </row>
    <row r="14" spans="1:29">
      <c r="A14" s="8">
        <v>193</v>
      </c>
      <c r="B14" s="9" t="s">
        <v>48</v>
      </c>
      <c r="C14" s="10" t="s">
        <v>49</v>
      </c>
      <c r="D14" s="7" t="s">
        <v>16</v>
      </c>
      <c r="E14" s="11" t="s">
        <v>17</v>
      </c>
      <c r="F14" s="23"/>
      <c r="G14" s="13" t="s">
        <v>19</v>
      </c>
      <c r="H14" s="14">
        <v>45418</v>
      </c>
      <c r="I14" s="14">
        <v>45783</v>
      </c>
      <c r="J14" s="15">
        <v>25</v>
      </c>
      <c r="K14" s="16">
        <v>1</v>
      </c>
      <c r="L14" s="33">
        <v>1.4999999999999999E-2</v>
      </c>
      <c r="M14" s="18" t="s">
        <v>50</v>
      </c>
      <c r="N14" s="34">
        <v>0.01</v>
      </c>
      <c r="O14" s="154">
        <v>18645</v>
      </c>
      <c r="P14" s="19"/>
      <c r="Q14" s="110"/>
      <c r="R14" s="110"/>
      <c r="S14" s="110"/>
      <c r="T14" s="110"/>
      <c r="U14" s="110"/>
      <c r="V14" s="110"/>
      <c r="W14" s="110"/>
      <c r="X14" s="151">
        <f>+W14*(1+$V$3)</f>
        <v>0</v>
      </c>
      <c r="Y14" s="110">
        <v>16513</v>
      </c>
      <c r="Z14" s="151">
        <f t="shared" si="0"/>
        <v>18279.891</v>
      </c>
      <c r="AA14" s="151">
        <f t="shared" si="1"/>
        <v>18645.488819999999</v>
      </c>
      <c r="AB14" s="151">
        <f t="shared" si="2"/>
        <v>18645</v>
      </c>
      <c r="AC14" s="168">
        <v>18645</v>
      </c>
    </row>
    <row r="15" spans="1:29">
      <c r="A15" s="8">
        <v>194</v>
      </c>
      <c r="B15" s="9" t="s">
        <v>48</v>
      </c>
      <c r="C15" s="10" t="s">
        <v>51</v>
      </c>
      <c r="D15" s="7" t="s">
        <v>16</v>
      </c>
      <c r="E15" s="11" t="s">
        <v>17</v>
      </c>
      <c r="F15" s="23"/>
      <c r="G15" s="13" t="s">
        <v>19</v>
      </c>
      <c r="H15" s="14">
        <v>45421</v>
      </c>
      <c r="I15" s="14">
        <v>45756</v>
      </c>
      <c r="J15" s="15">
        <v>25</v>
      </c>
      <c r="K15" s="16">
        <v>1</v>
      </c>
      <c r="L15" s="33">
        <v>1.4999999999999999E-2</v>
      </c>
      <c r="M15" s="18" t="s">
        <v>52</v>
      </c>
      <c r="N15" s="34">
        <v>0.01</v>
      </c>
      <c r="O15" s="154">
        <v>18645</v>
      </c>
      <c r="P15" s="19"/>
      <c r="Q15" s="110"/>
      <c r="R15" s="110"/>
      <c r="S15" s="110"/>
      <c r="T15" s="110"/>
      <c r="U15" s="110"/>
      <c r="V15" s="110"/>
      <c r="W15" s="110"/>
      <c r="X15" s="151">
        <f>+W15*(1+$V$3)</f>
        <v>0</v>
      </c>
      <c r="Y15" s="110">
        <v>16513</v>
      </c>
      <c r="Z15" s="151">
        <f t="shared" si="0"/>
        <v>18279.891</v>
      </c>
      <c r="AA15" s="151">
        <f t="shared" si="1"/>
        <v>18645.488819999999</v>
      </c>
      <c r="AB15" s="151">
        <f t="shared" si="2"/>
        <v>18645</v>
      </c>
      <c r="AC15" s="168">
        <v>18645</v>
      </c>
    </row>
    <row r="16" spans="1:29">
      <c r="A16" s="8">
        <v>195</v>
      </c>
      <c r="B16" s="9"/>
      <c r="C16" s="10" t="s">
        <v>53</v>
      </c>
      <c r="D16" s="7" t="s">
        <v>16</v>
      </c>
      <c r="E16" s="11" t="s">
        <v>17</v>
      </c>
      <c r="F16" s="12"/>
      <c r="G16" s="16" t="s">
        <v>19</v>
      </c>
      <c r="H16" s="14">
        <v>44657</v>
      </c>
      <c r="I16" s="14">
        <v>45753</v>
      </c>
      <c r="J16" s="15">
        <v>25</v>
      </c>
      <c r="K16" s="16">
        <v>3</v>
      </c>
      <c r="L16" s="17" t="s">
        <v>54</v>
      </c>
      <c r="M16" s="35"/>
      <c r="N16" s="18" t="s">
        <v>55</v>
      </c>
      <c r="O16" s="154">
        <v>807</v>
      </c>
      <c r="P16" s="19"/>
      <c r="Q16" s="110"/>
      <c r="R16" s="110"/>
      <c r="S16" s="110"/>
      <c r="T16" s="110"/>
      <c r="U16" s="110"/>
      <c r="V16" s="110"/>
      <c r="W16" s="110">
        <v>598</v>
      </c>
      <c r="X16" s="151">
        <f>+W16*(1+$V$3)</f>
        <v>620.72400000000005</v>
      </c>
      <c r="Y16" s="151">
        <f>+X16*(1+$W$3)</f>
        <v>714.45332400000007</v>
      </c>
      <c r="Z16" s="151">
        <f t="shared" si="0"/>
        <v>790.89982966800005</v>
      </c>
      <c r="AA16" s="151">
        <f t="shared" si="1"/>
        <v>806.71782626136007</v>
      </c>
      <c r="AB16" s="151">
        <f t="shared" si="2"/>
        <v>807</v>
      </c>
      <c r="AC16" s="168">
        <v>807</v>
      </c>
    </row>
    <row r="17" spans="1:29">
      <c r="A17" s="8">
        <v>200</v>
      </c>
      <c r="B17" s="9"/>
      <c r="C17" s="10" t="s">
        <v>23</v>
      </c>
      <c r="D17" s="7" t="s">
        <v>16</v>
      </c>
      <c r="E17" s="11" t="s">
        <v>17</v>
      </c>
      <c r="F17" s="23"/>
      <c r="G17" s="16" t="s">
        <v>19</v>
      </c>
      <c r="H17" s="14">
        <v>45392</v>
      </c>
      <c r="I17" s="14">
        <v>45757</v>
      </c>
      <c r="J17" s="15">
        <v>25</v>
      </c>
      <c r="K17" s="16">
        <v>1</v>
      </c>
      <c r="L17" s="17" t="s">
        <v>24</v>
      </c>
      <c r="M17" s="18" t="s">
        <v>25</v>
      </c>
      <c r="N17" s="18" t="s">
        <v>26</v>
      </c>
      <c r="O17" s="154">
        <v>1755</v>
      </c>
      <c r="P17" s="19"/>
      <c r="Q17" s="110"/>
      <c r="R17" s="110"/>
      <c r="S17" s="110"/>
      <c r="T17" s="110"/>
      <c r="U17" s="110"/>
      <c r="V17" s="110"/>
      <c r="W17" s="110"/>
      <c r="X17" s="151">
        <v>1350</v>
      </c>
      <c r="Y17" s="151">
        <f t="shared" ref="Y17:Y22" si="3">+X17*(1+$W$3)</f>
        <v>1553.8500000000001</v>
      </c>
      <c r="Z17" s="151">
        <f>+Y17*(1+$X$3)</f>
        <v>1720.1119500000002</v>
      </c>
      <c r="AA17" s="151">
        <f>+Z17*(1+$Y$3)</f>
        <v>1754.5141890000002</v>
      </c>
      <c r="AB17" s="151">
        <f>ROUND(AA17,0)</f>
        <v>1755</v>
      </c>
      <c r="AC17" s="168">
        <v>1755</v>
      </c>
    </row>
    <row r="18" spans="1:29">
      <c r="A18" s="8">
        <v>209</v>
      </c>
      <c r="B18" s="9"/>
      <c r="C18" s="10" t="s">
        <v>56</v>
      </c>
      <c r="D18" s="7" t="s">
        <v>16</v>
      </c>
      <c r="E18" s="11" t="s">
        <v>17</v>
      </c>
      <c r="F18" s="23" t="s">
        <v>57</v>
      </c>
      <c r="G18" s="13" t="s">
        <v>19</v>
      </c>
      <c r="H18" s="14">
        <v>44090</v>
      </c>
      <c r="I18" s="14">
        <v>45916</v>
      </c>
      <c r="J18" s="15">
        <v>25</v>
      </c>
      <c r="K18" s="16">
        <v>5</v>
      </c>
      <c r="L18" s="36"/>
      <c r="M18" s="36"/>
      <c r="N18" s="36"/>
      <c r="O18" s="154">
        <v>10078</v>
      </c>
      <c r="P18" s="145"/>
      <c r="Q18" s="146"/>
      <c r="R18" s="146"/>
      <c r="S18" s="146"/>
      <c r="T18" s="146"/>
      <c r="U18" s="146">
        <v>7042</v>
      </c>
      <c r="V18" s="146">
        <f>+U18*(1+$T$3)</f>
        <v>7239.1760000000004</v>
      </c>
      <c r="W18" s="146">
        <f>+V18*(1+$U$3)</f>
        <v>7470.8296320000009</v>
      </c>
      <c r="X18" s="146">
        <f>+W18*(1+$V$3)</f>
        <v>7754.721158016001</v>
      </c>
      <c r="Y18" s="151">
        <f t="shared" si="3"/>
        <v>8925.6840528764169</v>
      </c>
      <c r="Z18" s="151">
        <f t="shared" ref="Z18:Z81" si="4">+Y18*(1+$X$3)</f>
        <v>9880.7322465341931</v>
      </c>
      <c r="AA18" s="151">
        <f t="shared" si="1"/>
        <v>10078.346891464877</v>
      </c>
      <c r="AB18" s="151">
        <f t="shared" si="2"/>
        <v>10078</v>
      </c>
      <c r="AC18" s="168">
        <v>10078</v>
      </c>
    </row>
    <row r="19" spans="1:29">
      <c r="A19" s="8">
        <v>242</v>
      </c>
      <c r="B19" s="9"/>
      <c r="C19" s="10" t="s">
        <v>58</v>
      </c>
      <c r="D19" s="7" t="s">
        <v>16</v>
      </c>
      <c r="E19" s="11" t="s">
        <v>17</v>
      </c>
      <c r="F19" s="23" t="s">
        <v>59</v>
      </c>
      <c r="G19" s="13" t="s">
        <v>19</v>
      </c>
      <c r="H19" s="14">
        <v>44090</v>
      </c>
      <c r="I19" s="14">
        <v>45916</v>
      </c>
      <c r="J19" s="15">
        <v>25</v>
      </c>
      <c r="K19" s="16">
        <v>5</v>
      </c>
      <c r="L19" s="29" t="s">
        <v>60</v>
      </c>
      <c r="M19" s="36"/>
      <c r="N19" s="36"/>
      <c r="O19" s="154">
        <v>8063</v>
      </c>
      <c r="P19" s="145"/>
      <c r="Q19" s="146"/>
      <c r="R19" s="146"/>
      <c r="S19" s="146"/>
      <c r="T19" s="146"/>
      <c r="U19" s="146">
        <v>5634</v>
      </c>
      <c r="V19" s="146">
        <f>+U19*(1+$T$3)</f>
        <v>5791.7520000000004</v>
      </c>
      <c r="W19" s="146">
        <f>+V19*(1+$U$3)</f>
        <v>5977.0880640000005</v>
      </c>
      <c r="X19" s="146">
        <f>+W19*(1+$V$3)</f>
        <v>6204.2174104320011</v>
      </c>
      <c r="Y19" s="151">
        <f t="shared" si="3"/>
        <v>7141.0542394072336</v>
      </c>
      <c r="Z19" s="151">
        <f>+Y19*(1+$X$3)</f>
        <v>7905.1470430238078</v>
      </c>
      <c r="AA19" s="151">
        <f>+Z19*(1+$Y$3)</f>
        <v>8063.2499838842841</v>
      </c>
      <c r="AB19" s="151">
        <f t="shared" si="2"/>
        <v>8063</v>
      </c>
      <c r="AC19" s="168">
        <v>8063</v>
      </c>
    </row>
    <row r="20" spans="1:29">
      <c r="A20" s="8">
        <v>252</v>
      </c>
      <c r="B20" s="9"/>
      <c r="C20" s="9" t="s">
        <v>61</v>
      </c>
      <c r="D20" s="7" t="s">
        <v>16</v>
      </c>
      <c r="E20" s="11" t="s">
        <v>17</v>
      </c>
      <c r="F20" s="12"/>
      <c r="G20" s="21" t="s">
        <v>19</v>
      </c>
      <c r="H20" s="14">
        <v>45245</v>
      </c>
      <c r="I20" s="14">
        <v>45976</v>
      </c>
      <c r="J20" s="15">
        <v>25</v>
      </c>
      <c r="K20" s="16">
        <v>2</v>
      </c>
      <c r="L20" s="29" t="s">
        <v>62</v>
      </c>
      <c r="M20" s="36" t="s">
        <v>63</v>
      </c>
      <c r="N20" s="36" t="s">
        <v>64</v>
      </c>
      <c r="O20" s="154">
        <v>3570</v>
      </c>
      <c r="P20" s="19" t="s">
        <v>431</v>
      </c>
      <c r="Q20" s="110"/>
      <c r="R20" s="110"/>
      <c r="S20" s="110"/>
      <c r="T20" s="110"/>
      <c r="U20" s="110"/>
      <c r="V20" s="110"/>
      <c r="W20" s="110"/>
      <c r="X20" s="110">
        <v>1280</v>
      </c>
      <c r="Y20" s="151">
        <f t="shared" si="3"/>
        <v>1473.28</v>
      </c>
      <c r="Z20" s="151">
        <f t="shared" si="4"/>
        <v>1630.9209599999999</v>
      </c>
      <c r="AA20" s="151">
        <f t="shared" si="1"/>
        <v>1663.5393792</v>
      </c>
      <c r="AB20" s="151">
        <f t="shared" si="2"/>
        <v>1664</v>
      </c>
      <c r="AC20" s="168">
        <v>3570</v>
      </c>
    </row>
    <row r="21" spans="1:29">
      <c r="A21" s="8">
        <v>253</v>
      </c>
      <c r="B21" s="9"/>
      <c r="C21" s="9" t="s">
        <v>61</v>
      </c>
      <c r="D21" s="7" t="s">
        <v>16</v>
      </c>
      <c r="E21" s="11" t="s">
        <v>17</v>
      </c>
      <c r="F21" s="12"/>
      <c r="G21" s="21" t="s">
        <v>19</v>
      </c>
      <c r="H21" s="14">
        <v>45245</v>
      </c>
      <c r="I21" s="14">
        <v>45976</v>
      </c>
      <c r="J21" s="15">
        <v>25</v>
      </c>
      <c r="K21" s="16">
        <v>2</v>
      </c>
      <c r="L21" s="29" t="s">
        <v>62</v>
      </c>
      <c r="M21" s="36" t="s">
        <v>63</v>
      </c>
      <c r="N21" s="36" t="s">
        <v>64</v>
      </c>
      <c r="O21" s="154">
        <v>3570</v>
      </c>
      <c r="P21" s="19" t="s">
        <v>431</v>
      </c>
      <c r="Q21" s="110"/>
      <c r="R21" s="110"/>
      <c r="S21" s="110"/>
      <c r="T21" s="110"/>
      <c r="U21" s="110"/>
      <c r="V21" s="110"/>
      <c r="W21" s="110"/>
      <c r="X21" s="110">
        <v>1280</v>
      </c>
      <c r="Y21" s="151">
        <f t="shared" si="3"/>
        <v>1473.28</v>
      </c>
      <c r="Z21" s="151">
        <f t="shared" si="4"/>
        <v>1630.9209599999999</v>
      </c>
      <c r="AA21" s="151">
        <f t="shared" si="1"/>
        <v>1663.5393792</v>
      </c>
      <c r="AB21" s="151">
        <f t="shared" si="2"/>
        <v>1664</v>
      </c>
      <c r="AC21" s="168">
        <v>3570</v>
      </c>
    </row>
    <row r="22" spans="1:29">
      <c r="A22" s="8">
        <v>387</v>
      </c>
      <c r="B22" s="9"/>
      <c r="C22" s="10" t="s">
        <v>65</v>
      </c>
      <c r="D22" s="7" t="s">
        <v>16</v>
      </c>
      <c r="E22" s="11" t="s">
        <v>17</v>
      </c>
      <c r="F22" s="12"/>
      <c r="G22" s="16" t="s">
        <v>19</v>
      </c>
      <c r="H22" s="14">
        <v>44698</v>
      </c>
      <c r="I22" s="25">
        <v>45794</v>
      </c>
      <c r="J22" s="15">
        <v>25</v>
      </c>
      <c r="K22" s="16">
        <v>3</v>
      </c>
      <c r="L22" s="17" t="s">
        <v>66</v>
      </c>
      <c r="M22" s="18" t="s">
        <v>67</v>
      </c>
      <c r="N22" s="18" t="s">
        <v>68</v>
      </c>
      <c r="O22" s="154">
        <v>402</v>
      </c>
      <c r="P22" s="19"/>
      <c r="Q22" s="110"/>
      <c r="R22" s="110"/>
      <c r="S22" s="110"/>
      <c r="T22" s="110"/>
      <c r="U22" s="110"/>
      <c r="V22" s="110"/>
      <c r="W22" s="110">
        <v>298</v>
      </c>
      <c r="X22" s="110">
        <f>+W22*(1+$V$3)</f>
        <v>309.32400000000001</v>
      </c>
      <c r="Y22" s="151">
        <f t="shared" si="3"/>
        <v>356.031924</v>
      </c>
      <c r="Z22" s="151">
        <f t="shared" si="4"/>
        <v>394.12733986799998</v>
      </c>
      <c r="AA22" s="151">
        <f t="shared" si="1"/>
        <v>402.00988666536</v>
      </c>
      <c r="AB22" s="151">
        <f t="shared" si="2"/>
        <v>402</v>
      </c>
      <c r="AC22" s="168">
        <v>402</v>
      </c>
    </row>
    <row r="23" spans="1:29">
      <c r="A23" s="8">
        <v>406</v>
      </c>
      <c r="B23" s="9" t="s">
        <v>48</v>
      </c>
      <c r="C23" s="10" t="s">
        <v>69</v>
      </c>
      <c r="D23" s="7" t="s">
        <v>16</v>
      </c>
      <c r="E23" s="11" t="s">
        <v>17</v>
      </c>
      <c r="F23" s="23"/>
      <c r="G23" s="13" t="s">
        <v>19</v>
      </c>
      <c r="H23" s="14">
        <v>45419</v>
      </c>
      <c r="I23" s="14">
        <v>45784</v>
      </c>
      <c r="J23" s="15">
        <v>25</v>
      </c>
      <c r="K23" s="16">
        <v>1</v>
      </c>
      <c r="L23" s="33">
        <v>1.4999999999999999E-2</v>
      </c>
      <c r="M23" s="18" t="s">
        <v>70</v>
      </c>
      <c r="N23" s="34">
        <v>0.01</v>
      </c>
      <c r="O23" s="154">
        <v>18645</v>
      </c>
      <c r="P23" s="19"/>
      <c r="Q23" s="110"/>
      <c r="R23" s="110"/>
      <c r="S23" s="110"/>
      <c r="T23" s="110"/>
      <c r="U23" s="110"/>
      <c r="V23" s="110"/>
      <c r="W23" s="110"/>
      <c r="X23" s="110"/>
      <c r="Y23" s="110">
        <v>16513</v>
      </c>
      <c r="Z23" s="151">
        <f t="shared" si="4"/>
        <v>18279.891</v>
      </c>
      <c r="AA23" s="151">
        <f t="shared" si="1"/>
        <v>18645.488819999999</v>
      </c>
      <c r="AB23" s="151">
        <f t="shared" si="2"/>
        <v>18645</v>
      </c>
      <c r="AC23" s="168">
        <v>18645</v>
      </c>
    </row>
    <row r="24" spans="1:29">
      <c r="A24" s="8">
        <v>425</v>
      </c>
      <c r="B24" s="9"/>
      <c r="C24" s="37" t="s">
        <v>71</v>
      </c>
      <c r="D24" s="7" t="s">
        <v>16</v>
      </c>
      <c r="E24" s="11" t="s">
        <v>17</v>
      </c>
      <c r="F24" s="38"/>
      <c r="G24" s="39" t="s">
        <v>19</v>
      </c>
      <c r="H24" s="25">
        <v>45449</v>
      </c>
      <c r="I24" s="14">
        <v>45814</v>
      </c>
      <c r="J24" s="15">
        <v>25</v>
      </c>
      <c r="K24" s="16">
        <v>1</v>
      </c>
      <c r="L24" s="40">
        <v>1.4999999999999999E-2</v>
      </c>
      <c r="M24" s="41" t="s">
        <v>72</v>
      </c>
      <c r="N24" s="42" t="s">
        <v>73</v>
      </c>
      <c r="O24" s="156">
        <v>9322</v>
      </c>
      <c r="P24" s="19"/>
      <c r="Q24" s="110"/>
      <c r="R24" s="110"/>
      <c r="S24" s="110"/>
      <c r="T24" s="110"/>
      <c r="U24" s="110"/>
      <c r="V24" s="110"/>
      <c r="W24" s="110"/>
      <c r="X24" s="110"/>
      <c r="Y24" s="110">
        <v>8256</v>
      </c>
      <c r="Z24" s="151"/>
      <c r="AA24" s="151"/>
      <c r="AB24" s="151"/>
      <c r="AC24" s="168">
        <v>9322</v>
      </c>
    </row>
    <row r="25" spans="1:29">
      <c r="A25" s="8">
        <v>428</v>
      </c>
      <c r="B25" s="9"/>
      <c r="C25" s="43" t="s">
        <v>74</v>
      </c>
      <c r="D25" s="7" t="s">
        <v>16</v>
      </c>
      <c r="E25" s="11" t="s">
        <v>17</v>
      </c>
      <c r="F25" s="38"/>
      <c r="G25" s="39" t="s">
        <v>19</v>
      </c>
      <c r="H25" s="25">
        <v>45450</v>
      </c>
      <c r="I25" s="14">
        <v>45815</v>
      </c>
      <c r="J25" s="15">
        <v>25</v>
      </c>
      <c r="K25" s="16">
        <v>1</v>
      </c>
      <c r="L25" s="40">
        <v>1.4999999999999999E-2</v>
      </c>
      <c r="M25" s="41" t="s">
        <v>75</v>
      </c>
      <c r="N25" s="42" t="s">
        <v>73</v>
      </c>
      <c r="O25" s="156">
        <v>9322</v>
      </c>
      <c r="P25" s="19"/>
      <c r="Q25" s="110"/>
      <c r="R25" s="110"/>
      <c r="S25" s="110"/>
      <c r="T25" s="110"/>
      <c r="U25" s="110"/>
      <c r="V25" s="110"/>
      <c r="W25" s="110"/>
      <c r="X25" s="110"/>
      <c r="Y25" s="110">
        <v>8256</v>
      </c>
      <c r="Z25" s="151"/>
      <c r="AA25" s="151"/>
      <c r="AB25" s="151"/>
      <c r="AC25" s="168">
        <v>9322</v>
      </c>
    </row>
    <row r="26" spans="1:29">
      <c r="A26" s="8">
        <v>432</v>
      </c>
      <c r="B26" s="9"/>
      <c r="C26" s="10" t="s">
        <v>76</v>
      </c>
      <c r="D26" s="7" t="s">
        <v>16</v>
      </c>
      <c r="E26" s="11" t="s">
        <v>17</v>
      </c>
      <c r="F26" s="38" t="s">
        <v>77</v>
      </c>
      <c r="G26" s="16" t="s">
        <v>19</v>
      </c>
      <c r="H26" s="14">
        <v>45097</v>
      </c>
      <c r="I26" s="14">
        <v>45828</v>
      </c>
      <c r="J26" s="15">
        <v>25</v>
      </c>
      <c r="K26" s="16">
        <v>2</v>
      </c>
      <c r="L26" s="17" t="s">
        <v>78</v>
      </c>
      <c r="M26" s="41" t="s">
        <v>79</v>
      </c>
      <c r="N26" s="44" t="s">
        <v>80</v>
      </c>
      <c r="O26" s="156">
        <v>495</v>
      </c>
      <c r="P26" s="19"/>
      <c r="Q26" s="110"/>
      <c r="R26" s="110"/>
      <c r="S26" s="110"/>
      <c r="T26" s="110"/>
      <c r="U26" s="110"/>
      <c r="V26" s="110"/>
      <c r="W26" s="110"/>
      <c r="X26" s="110">
        <v>381</v>
      </c>
      <c r="Y26" s="151">
        <f>+X26*(1+$W$3)</f>
        <v>438.53100000000001</v>
      </c>
      <c r="Z26" s="151">
        <f t="shared" si="4"/>
        <v>485.45381700000002</v>
      </c>
      <c r="AA26" s="151">
        <f t="shared" si="1"/>
        <v>495.16289334000004</v>
      </c>
      <c r="AB26" s="151">
        <f t="shared" si="2"/>
        <v>495</v>
      </c>
      <c r="AC26" s="168">
        <v>495</v>
      </c>
    </row>
    <row r="27" spans="1:29">
      <c r="A27" s="8">
        <v>435</v>
      </c>
      <c r="B27" s="9"/>
      <c r="C27" s="43" t="s">
        <v>34</v>
      </c>
      <c r="D27" s="7" t="s">
        <v>16</v>
      </c>
      <c r="E27" s="11" t="s">
        <v>17</v>
      </c>
      <c r="F27" s="23"/>
      <c r="G27" s="27" t="s">
        <v>19</v>
      </c>
      <c r="H27" s="25">
        <v>45033</v>
      </c>
      <c r="I27" s="14">
        <v>45764</v>
      </c>
      <c r="J27" s="15">
        <v>25</v>
      </c>
      <c r="K27" s="16">
        <v>2</v>
      </c>
      <c r="L27" s="29" t="s">
        <v>35</v>
      </c>
      <c r="M27" s="41" t="s">
        <v>81</v>
      </c>
      <c r="N27" s="42" t="s">
        <v>82</v>
      </c>
      <c r="O27" s="156">
        <v>1664</v>
      </c>
      <c r="P27" s="19"/>
      <c r="Q27" s="110"/>
      <c r="R27" s="110"/>
      <c r="S27" s="110"/>
      <c r="T27" s="110"/>
      <c r="U27" s="110"/>
      <c r="V27" s="110"/>
      <c r="W27" s="110"/>
      <c r="X27" s="110">
        <v>1280</v>
      </c>
      <c r="Y27" s="151">
        <f>+X27*(1+$W$3)</f>
        <v>1473.28</v>
      </c>
      <c r="Z27" s="151">
        <f t="shared" si="4"/>
        <v>1630.9209599999999</v>
      </c>
      <c r="AA27" s="151">
        <f t="shared" si="1"/>
        <v>1663.5393792</v>
      </c>
      <c r="AB27" s="151">
        <f t="shared" si="2"/>
        <v>1664</v>
      </c>
      <c r="AC27" s="168">
        <v>1664</v>
      </c>
    </row>
    <row r="28" spans="1:29">
      <c r="A28" s="8">
        <v>746</v>
      </c>
      <c r="B28" s="9"/>
      <c r="C28" s="10" t="s">
        <v>65</v>
      </c>
      <c r="D28" s="7" t="s">
        <v>16</v>
      </c>
      <c r="E28" s="11" t="s">
        <v>17</v>
      </c>
      <c r="F28" s="23"/>
      <c r="G28" s="16" t="s">
        <v>19</v>
      </c>
      <c r="H28" s="14">
        <v>45035</v>
      </c>
      <c r="I28" s="14">
        <v>45766</v>
      </c>
      <c r="J28" s="15">
        <v>25</v>
      </c>
      <c r="K28" s="16">
        <v>2</v>
      </c>
      <c r="L28" s="17" t="s">
        <v>83</v>
      </c>
      <c r="M28" s="45" t="s">
        <v>84</v>
      </c>
      <c r="N28" s="45" t="s">
        <v>68</v>
      </c>
      <c r="O28" s="156">
        <v>402</v>
      </c>
      <c r="P28" s="19"/>
      <c r="Q28" s="110"/>
      <c r="R28" s="110"/>
      <c r="S28" s="110"/>
      <c r="T28" s="110"/>
      <c r="U28" s="110"/>
      <c r="V28" s="110"/>
      <c r="W28" s="110"/>
      <c r="X28" s="110">
        <v>309</v>
      </c>
      <c r="Y28" s="151">
        <f>+X28*(1+$W$3)</f>
        <v>355.65899999999999</v>
      </c>
      <c r="Z28" s="151">
        <f t="shared" si="4"/>
        <v>393.71451300000001</v>
      </c>
      <c r="AA28" s="151">
        <f t="shared" si="1"/>
        <v>401.58880326000002</v>
      </c>
      <c r="AB28" s="151">
        <f t="shared" si="2"/>
        <v>402</v>
      </c>
      <c r="AC28" s="168">
        <v>402</v>
      </c>
    </row>
    <row r="29" spans="1:29">
      <c r="A29" s="8">
        <v>932</v>
      </c>
      <c r="B29" s="9"/>
      <c r="C29" s="46" t="s">
        <v>85</v>
      </c>
      <c r="D29" s="7" t="s">
        <v>16</v>
      </c>
      <c r="E29" s="11" t="s">
        <v>17</v>
      </c>
      <c r="F29" s="20"/>
      <c r="G29" s="27" t="s">
        <v>19</v>
      </c>
      <c r="H29" s="14">
        <v>45249</v>
      </c>
      <c r="I29" s="25">
        <v>45980</v>
      </c>
      <c r="J29" s="15">
        <v>25</v>
      </c>
      <c r="K29" s="16">
        <v>2</v>
      </c>
      <c r="L29" s="113">
        <v>0.02</v>
      </c>
      <c r="M29" s="18" t="s">
        <v>86</v>
      </c>
      <c r="N29" s="17" t="s">
        <v>87</v>
      </c>
      <c r="O29" s="157">
        <v>9303</v>
      </c>
      <c r="P29" s="19"/>
      <c r="Q29" s="110"/>
      <c r="R29" s="110"/>
      <c r="S29" s="110"/>
      <c r="T29" s="110"/>
      <c r="U29" s="110"/>
      <c r="V29" s="110"/>
      <c r="W29" s="110"/>
      <c r="X29" s="110">
        <v>7158</v>
      </c>
      <c r="Y29" s="151">
        <f>+X29*(1+$W$3)</f>
        <v>8238.8580000000002</v>
      </c>
      <c r="Z29" s="151">
        <f t="shared" si="4"/>
        <v>9120.4158060000009</v>
      </c>
      <c r="AA29" s="151">
        <f t="shared" si="1"/>
        <v>9302.8241221200005</v>
      </c>
      <c r="AB29" s="151">
        <f t="shared" si="2"/>
        <v>9303</v>
      </c>
      <c r="AC29" s="168">
        <v>9303</v>
      </c>
    </row>
    <row r="30" spans="1:29">
      <c r="A30" s="8">
        <v>1307</v>
      </c>
      <c r="B30" s="47"/>
      <c r="C30" s="46" t="s">
        <v>30</v>
      </c>
      <c r="D30" s="7" t="s">
        <v>16</v>
      </c>
      <c r="E30" s="11" t="s">
        <v>17</v>
      </c>
      <c r="F30" s="23"/>
      <c r="G30" s="13" t="s">
        <v>19</v>
      </c>
      <c r="H30" s="14">
        <v>45065</v>
      </c>
      <c r="I30" s="14">
        <v>45796</v>
      </c>
      <c r="J30" s="15">
        <v>25</v>
      </c>
      <c r="K30" s="16">
        <v>2</v>
      </c>
      <c r="L30" s="48" t="s">
        <v>88</v>
      </c>
      <c r="M30" s="49" t="s">
        <v>89</v>
      </c>
      <c r="N30" s="48" t="s">
        <v>88</v>
      </c>
      <c r="O30" s="157">
        <v>548</v>
      </c>
      <c r="P30" s="19"/>
      <c r="Q30" s="110"/>
      <c r="R30" s="110"/>
      <c r="S30" s="110"/>
      <c r="T30" s="110"/>
      <c r="U30" s="110"/>
      <c r="V30" s="110"/>
      <c r="W30" s="110"/>
      <c r="X30" s="110">
        <v>422</v>
      </c>
      <c r="Y30" s="151">
        <f>+X30*(1+$W$3)</f>
        <v>485.72200000000004</v>
      </c>
      <c r="Z30" s="151">
        <f t="shared" si="4"/>
        <v>537.694254</v>
      </c>
      <c r="AA30" s="151">
        <f t="shared" si="1"/>
        <v>548.44813908000003</v>
      </c>
      <c r="AB30" s="151">
        <f t="shared" si="2"/>
        <v>548</v>
      </c>
      <c r="AC30" s="168">
        <v>548</v>
      </c>
    </row>
    <row r="31" spans="1:29">
      <c r="A31" s="8">
        <v>1423</v>
      </c>
      <c r="B31" s="9"/>
      <c r="C31" s="10" t="s">
        <v>90</v>
      </c>
      <c r="D31" s="7" t="s">
        <v>16</v>
      </c>
      <c r="E31" s="11" t="s">
        <v>17</v>
      </c>
      <c r="F31" s="23" t="s">
        <v>91</v>
      </c>
      <c r="G31" s="16" t="s">
        <v>19</v>
      </c>
      <c r="H31" s="14">
        <v>45412</v>
      </c>
      <c r="I31" s="14">
        <v>45777</v>
      </c>
      <c r="J31" s="15">
        <v>25</v>
      </c>
      <c r="K31" s="16">
        <v>1</v>
      </c>
      <c r="L31" s="29" t="s">
        <v>92</v>
      </c>
      <c r="M31" s="36" t="s">
        <v>93</v>
      </c>
      <c r="N31" s="36"/>
      <c r="O31" s="158">
        <v>5790</v>
      </c>
      <c r="P31" s="19"/>
      <c r="Q31" s="110"/>
      <c r="R31" s="110"/>
      <c r="S31" s="110"/>
      <c r="T31" s="110"/>
      <c r="U31" s="110"/>
      <c r="V31" s="110"/>
      <c r="W31" s="110"/>
      <c r="X31" s="110"/>
      <c r="Y31" s="110">
        <v>5128</v>
      </c>
      <c r="Z31" s="151">
        <f t="shared" si="4"/>
        <v>5676.6959999999999</v>
      </c>
      <c r="AA31" s="151">
        <f t="shared" si="1"/>
        <v>5790.2299199999998</v>
      </c>
      <c r="AB31" s="151">
        <f t="shared" si="2"/>
        <v>5790</v>
      </c>
      <c r="AC31" s="168">
        <v>5790</v>
      </c>
    </row>
    <row r="32" spans="1:29">
      <c r="A32" s="8">
        <v>1457</v>
      </c>
      <c r="B32" s="9"/>
      <c r="C32" s="9" t="s">
        <v>94</v>
      </c>
      <c r="D32" s="7" t="s">
        <v>16</v>
      </c>
      <c r="E32" s="11" t="s">
        <v>17</v>
      </c>
      <c r="F32" s="20"/>
      <c r="G32" s="16" t="s">
        <v>19</v>
      </c>
      <c r="H32" s="14">
        <v>45397</v>
      </c>
      <c r="I32" s="14">
        <v>45762</v>
      </c>
      <c r="J32" s="15">
        <v>25</v>
      </c>
      <c r="K32" s="16">
        <v>1</v>
      </c>
      <c r="L32" s="17" t="s">
        <v>95</v>
      </c>
      <c r="M32" s="50" t="s">
        <v>96</v>
      </c>
      <c r="N32" s="36" t="s">
        <v>97</v>
      </c>
      <c r="O32" s="158">
        <v>2166</v>
      </c>
      <c r="P32" s="19"/>
      <c r="Q32" s="110"/>
      <c r="R32" s="110"/>
      <c r="S32" s="110"/>
      <c r="T32" s="110"/>
      <c r="U32" s="110"/>
      <c r="V32" s="110"/>
      <c r="W32" s="110"/>
      <c r="X32" s="110"/>
      <c r="Y32" s="110">
        <v>1918</v>
      </c>
      <c r="Z32" s="151">
        <f t="shared" si="4"/>
        <v>2123.2260000000001</v>
      </c>
      <c r="AA32" s="151">
        <f t="shared" si="1"/>
        <v>2165.6905200000001</v>
      </c>
      <c r="AB32" s="151">
        <f t="shared" si="2"/>
        <v>2166</v>
      </c>
      <c r="AC32" s="168">
        <v>2166</v>
      </c>
    </row>
    <row r="33" spans="1:29">
      <c r="A33" s="51">
        <v>1873</v>
      </c>
      <c r="B33" s="9"/>
      <c r="C33" s="9" t="s">
        <v>98</v>
      </c>
      <c r="D33" s="7" t="s">
        <v>16</v>
      </c>
      <c r="E33" s="11" t="s">
        <v>17</v>
      </c>
      <c r="F33" s="20"/>
      <c r="G33" s="16" t="s">
        <v>19</v>
      </c>
      <c r="H33" s="14">
        <v>45498</v>
      </c>
      <c r="I33" s="14">
        <v>45863</v>
      </c>
      <c r="J33" s="15">
        <v>25</v>
      </c>
      <c r="K33" s="16">
        <v>1</v>
      </c>
      <c r="L33" s="29" t="s">
        <v>99</v>
      </c>
      <c r="M33" s="49" t="s">
        <v>100</v>
      </c>
      <c r="N33" s="36" t="s">
        <v>68</v>
      </c>
      <c r="O33" s="159">
        <v>403</v>
      </c>
      <c r="P33" s="19"/>
      <c r="Q33" s="110"/>
      <c r="R33" s="110"/>
      <c r="S33" s="110"/>
      <c r="T33" s="110"/>
      <c r="U33" s="110"/>
      <c r="V33" s="110"/>
      <c r="W33" s="110"/>
      <c r="X33" s="110"/>
      <c r="Y33" s="110">
        <v>357</v>
      </c>
      <c r="Z33" s="151">
        <f t="shared" si="4"/>
        <v>395.19900000000001</v>
      </c>
      <c r="AA33" s="151">
        <f t="shared" si="1"/>
        <v>403.10298</v>
      </c>
      <c r="AB33" s="151">
        <f t="shared" si="2"/>
        <v>403</v>
      </c>
      <c r="AC33" s="168">
        <v>403</v>
      </c>
    </row>
    <row r="34" spans="1:29">
      <c r="A34" s="51">
        <v>2313</v>
      </c>
      <c r="B34" s="53"/>
      <c r="C34" s="9" t="s">
        <v>101</v>
      </c>
      <c r="D34" s="7" t="s">
        <v>16</v>
      </c>
      <c r="E34" s="11" t="s">
        <v>17</v>
      </c>
      <c r="F34" s="20"/>
      <c r="G34" s="16" t="s">
        <v>19</v>
      </c>
      <c r="H34" s="14">
        <v>45215</v>
      </c>
      <c r="I34" s="14">
        <v>45946</v>
      </c>
      <c r="J34" s="15">
        <v>25</v>
      </c>
      <c r="K34" s="16">
        <v>2</v>
      </c>
      <c r="L34" s="29" t="s">
        <v>102</v>
      </c>
      <c r="M34" s="36" t="s">
        <v>103</v>
      </c>
      <c r="N34" s="36" t="s">
        <v>104</v>
      </c>
      <c r="O34" s="159">
        <v>5056</v>
      </c>
      <c r="P34" s="19"/>
      <c r="Q34" s="110"/>
      <c r="R34" s="110"/>
      <c r="S34" s="110"/>
      <c r="T34" s="110"/>
      <c r="U34" s="110"/>
      <c r="V34" s="110"/>
      <c r="W34" s="110"/>
      <c r="X34" s="110">
        <v>3890</v>
      </c>
      <c r="Y34" s="151">
        <f>+X34*(1+$W$3)</f>
        <v>4477.3900000000003</v>
      </c>
      <c r="Z34" s="151">
        <f t="shared" si="4"/>
        <v>4956.47073</v>
      </c>
      <c r="AA34" s="151">
        <f t="shared" si="1"/>
        <v>5055.6001446</v>
      </c>
      <c r="AB34" s="151">
        <f t="shared" si="2"/>
        <v>5056</v>
      </c>
      <c r="AC34" s="168">
        <v>5056</v>
      </c>
    </row>
    <row r="35" spans="1:29">
      <c r="A35" s="54">
        <v>2366</v>
      </c>
      <c r="B35" s="55"/>
      <c r="C35" s="55" t="s">
        <v>105</v>
      </c>
      <c r="D35" s="7" t="s">
        <v>16</v>
      </c>
      <c r="E35" s="11" t="s">
        <v>17</v>
      </c>
      <c r="F35" s="20"/>
      <c r="G35" s="16" t="s">
        <v>19</v>
      </c>
      <c r="H35" s="14">
        <v>45245</v>
      </c>
      <c r="I35" s="25">
        <v>45976</v>
      </c>
      <c r="J35" s="15">
        <v>25</v>
      </c>
      <c r="K35" s="16">
        <v>2</v>
      </c>
      <c r="L35" s="18"/>
      <c r="M35" s="36" t="s">
        <v>106</v>
      </c>
      <c r="N35" s="61">
        <v>0.05</v>
      </c>
      <c r="O35" s="159">
        <v>4540</v>
      </c>
      <c r="P35" s="19"/>
      <c r="Q35" s="110"/>
      <c r="R35" s="110"/>
      <c r="S35" s="110"/>
      <c r="T35" s="110"/>
      <c r="U35" s="110"/>
      <c r="V35" s="110"/>
      <c r="W35" s="110"/>
      <c r="X35" s="110">
        <v>3493</v>
      </c>
      <c r="Y35" s="151">
        <f>+X35*(1+$W$3)</f>
        <v>4020.4430000000002</v>
      </c>
      <c r="Z35" s="151">
        <f t="shared" si="4"/>
        <v>4450.6304010000003</v>
      </c>
      <c r="AA35" s="151">
        <f t="shared" si="1"/>
        <v>4539.6430090200001</v>
      </c>
      <c r="AB35" s="151">
        <f t="shared" si="2"/>
        <v>4540</v>
      </c>
      <c r="AC35" s="168">
        <v>4540</v>
      </c>
    </row>
    <row r="36" spans="1:29">
      <c r="A36" s="51">
        <v>2369</v>
      </c>
      <c r="B36" s="9"/>
      <c r="C36" s="9" t="s">
        <v>107</v>
      </c>
      <c r="D36" s="7" t="s">
        <v>16</v>
      </c>
      <c r="E36" s="11" t="s">
        <v>17</v>
      </c>
      <c r="F36" s="23"/>
      <c r="G36" s="27" t="s">
        <v>19</v>
      </c>
      <c r="H36" s="14">
        <v>45034</v>
      </c>
      <c r="I36" s="25">
        <v>45765</v>
      </c>
      <c r="J36" s="15">
        <v>25</v>
      </c>
      <c r="K36" s="16">
        <v>2</v>
      </c>
      <c r="L36" s="18" t="s">
        <v>108</v>
      </c>
      <c r="M36" s="36" t="s">
        <v>109</v>
      </c>
      <c r="N36" s="56" t="s">
        <v>110</v>
      </c>
      <c r="O36" s="160">
        <v>1664</v>
      </c>
      <c r="P36" s="19"/>
      <c r="Q36" s="110"/>
      <c r="R36" s="110"/>
      <c r="S36" s="110"/>
      <c r="T36" s="110"/>
      <c r="U36" s="110"/>
      <c r="V36" s="110"/>
      <c r="W36" s="110"/>
      <c r="X36" s="110">
        <v>1280</v>
      </c>
      <c r="Y36" s="151">
        <f>+X36*(1+$W$3)</f>
        <v>1473.28</v>
      </c>
      <c r="Z36" s="151">
        <f t="shared" si="4"/>
        <v>1630.9209599999999</v>
      </c>
      <c r="AA36" s="151">
        <f t="shared" si="1"/>
        <v>1663.5393792</v>
      </c>
      <c r="AB36" s="151">
        <f t="shared" si="2"/>
        <v>1664</v>
      </c>
      <c r="AC36" s="168">
        <v>1664</v>
      </c>
    </row>
    <row r="37" spans="1:29">
      <c r="A37" s="51">
        <v>2373</v>
      </c>
      <c r="B37" s="9"/>
      <c r="C37" s="10" t="s">
        <v>65</v>
      </c>
      <c r="D37" s="7" t="s">
        <v>16</v>
      </c>
      <c r="E37" s="11" t="s">
        <v>17</v>
      </c>
      <c r="F37" s="20"/>
      <c r="G37" s="16" t="s">
        <v>19</v>
      </c>
      <c r="H37" s="14">
        <v>44698</v>
      </c>
      <c r="I37" s="14">
        <v>45794</v>
      </c>
      <c r="J37" s="15">
        <v>25</v>
      </c>
      <c r="K37" s="16">
        <v>3</v>
      </c>
      <c r="L37" s="18" t="s">
        <v>111</v>
      </c>
      <c r="M37" s="36" t="s">
        <v>84</v>
      </c>
      <c r="N37" s="57" t="s">
        <v>112</v>
      </c>
      <c r="O37" s="154">
        <v>402</v>
      </c>
      <c r="P37" s="19"/>
      <c r="Q37" s="110"/>
      <c r="R37" s="110"/>
      <c r="S37" s="110"/>
      <c r="T37" s="110"/>
      <c r="U37" s="110"/>
      <c r="V37" s="110"/>
      <c r="W37" s="110">
        <v>298</v>
      </c>
      <c r="X37" s="151">
        <f>+W37*(1+$V$3)</f>
        <v>309.32400000000001</v>
      </c>
      <c r="Y37" s="151">
        <f>+X37*(1+$W$3)</f>
        <v>356.031924</v>
      </c>
      <c r="Z37" s="151">
        <f t="shared" si="4"/>
        <v>394.12733986799998</v>
      </c>
      <c r="AA37" s="151">
        <f t="shared" si="1"/>
        <v>402.00988666536</v>
      </c>
      <c r="AB37" s="151">
        <f t="shared" si="2"/>
        <v>402</v>
      </c>
      <c r="AC37" s="168">
        <v>402</v>
      </c>
    </row>
    <row r="38" spans="1:29">
      <c r="A38" s="51">
        <v>2549</v>
      </c>
      <c r="B38" s="9"/>
      <c r="C38" s="9" t="s">
        <v>61</v>
      </c>
      <c r="D38" s="7" t="s">
        <v>16</v>
      </c>
      <c r="E38" s="11" t="s">
        <v>113</v>
      </c>
      <c r="F38" s="30" t="s">
        <v>114</v>
      </c>
      <c r="G38" s="21" t="s">
        <v>19</v>
      </c>
      <c r="H38" s="14">
        <v>45245</v>
      </c>
      <c r="I38" s="14">
        <v>45976</v>
      </c>
      <c r="J38" s="15">
        <v>25</v>
      </c>
      <c r="K38" s="16">
        <v>2</v>
      </c>
      <c r="L38" s="32" t="s">
        <v>115</v>
      </c>
      <c r="M38" s="36" t="s">
        <v>116</v>
      </c>
      <c r="N38" s="36" t="s">
        <v>64</v>
      </c>
      <c r="O38" s="159">
        <v>2550</v>
      </c>
      <c r="P38" s="19"/>
      <c r="Q38" s="110"/>
      <c r="R38" s="110"/>
      <c r="S38" s="110"/>
      <c r="T38" s="110"/>
      <c r="U38" s="110"/>
      <c r="V38" s="110"/>
      <c r="W38" s="110"/>
      <c r="X38" s="110">
        <v>1280</v>
      </c>
      <c r="Y38" s="151">
        <f>+X38*(1+$W$3)</f>
        <v>1473.28</v>
      </c>
      <c r="Z38" s="151">
        <f t="shared" si="4"/>
        <v>1630.9209599999999</v>
      </c>
      <c r="AA38" s="151">
        <f t="shared" si="1"/>
        <v>1663.5393792</v>
      </c>
      <c r="AB38" s="151">
        <f t="shared" si="2"/>
        <v>1664</v>
      </c>
      <c r="AC38" s="168">
        <v>2550</v>
      </c>
    </row>
    <row r="39" spans="1:29">
      <c r="A39" s="58">
        <v>2678</v>
      </c>
      <c r="B39" s="5"/>
      <c r="C39" s="5" t="s">
        <v>117</v>
      </c>
      <c r="D39" s="7" t="s">
        <v>16</v>
      </c>
      <c r="E39" s="11" t="s">
        <v>17</v>
      </c>
      <c r="F39" s="20"/>
      <c r="G39" s="16" t="s">
        <v>19</v>
      </c>
      <c r="H39" s="14">
        <v>45484</v>
      </c>
      <c r="I39" s="14">
        <v>45849</v>
      </c>
      <c r="J39" s="15">
        <v>25</v>
      </c>
      <c r="K39" s="16">
        <v>1</v>
      </c>
      <c r="L39" s="36" t="s">
        <v>118</v>
      </c>
      <c r="M39" s="36"/>
      <c r="N39" s="36" t="s">
        <v>118</v>
      </c>
      <c r="O39" s="159">
        <v>4192</v>
      </c>
      <c r="P39" s="19"/>
      <c r="Q39" s="110"/>
      <c r="R39" s="110"/>
      <c r="S39" s="110"/>
      <c r="T39" s="110"/>
      <c r="U39" s="110"/>
      <c r="V39" s="110"/>
      <c r="W39" s="110"/>
      <c r="X39" s="110"/>
      <c r="Y39" s="110">
        <v>3713</v>
      </c>
      <c r="Z39" s="151">
        <f t="shared" si="4"/>
        <v>4110.2910000000002</v>
      </c>
      <c r="AA39" s="151">
        <f t="shared" si="1"/>
        <v>4192.4968200000003</v>
      </c>
      <c r="AB39" s="151">
        <f t="shared" si="2"/>
        <v>4192</v>
      </c>
      <c r="AC39" s="168">
        <v>4192</v>
      </c>
    </row>
    <row r="40" spans="1:29">
      <c r="A40" s="58">
        <v>2700</v>
      </c>
      <c r="B40" s="59"/>
      <c r="C40" s="6" t="s">
        <v>119</v>
      </c>
      <c r="D40" s="7" t="s">
        <v>16</v>
      </c>
      <c r="E40" s="11" t="s">
        <v>17</v>
      </c>
      <c r="F40" s="20"/>
      <c r="G40" s="13" t="s">
        <v>19</v>
      </c>
      <c r="H40" s="14">
        <v>45120</v>
      </c>
      <c r="I40" s="14">
        <v>45851</v>
      </c>
      <c r="J40" s="15">
        <v>25</v>
      </c>
      <c r="K40" s="16">
        <v>2</v>
      </c>
      <c r="L40" s="18" t="s">
        <v>120</v>
      </c>
      <c r="M40" s="18" t="s">
        <v>121</v>
      </c>
      <c r="N40" s="18"/>
      <c r="O40" s="154">
        <v>1426</v>
      </c>
      <c r="P40" s="19"/>
      <c r="Q40" s="110"/>
      <c r="R40" s="110"/>
      <c r="S40" s="110"/>
      <c r="T40" s="110"/>
      <c r="U40" s="110"/>
      <c r="V40" s="110"/>
      <c r="W40" s="110"/>
      <c r="X40" s="110">
        <v>1097</v>
      </c>
      <c r="Y40" s="151">
        <f>+X40*(1+$W$3)</f>
        <v>1262.6469999999999</v>
      </c>
      <c r="Z40" s="151">
        <f t="shared" si="4"/>
        <v>1397.750229</v>
      </c>
      <c r="AA40" s="151">
        <f t="shared" si="1"/>
        <v>1425.7052335799999</v>
      </c>
      <c r="AB40" s="151">
        <f t="shared" si="2"/>
        <v>1426</v>
      </c>
      <c r="AC40" s="168">
        <v>1426</v>
      </c>
    </row>
    <row r="41" spans="1:29">
      <c r="A41" s="51">
        <v>2728</v>
      </c>
      <c r="B41" s="9"/>
      <c r="C41" s="10" t="s">
        <v>122</v>
      </c>
      <c r="D41" s="7" t="s">
        <v>16</v>
      </c>
      <c r="E41" s="11" t="s">
        <v>17</v>
      </c>
      <c r="F41" s="20"/>
      <c r="G41" s="16" t="s">
        <v>19</v>
      </c>
      <c r="H41" s="14">
        <v>45219</v>
      </c>
      <c r="I41" s="14">
        <v>45950</v>
      </c>
      <c r="J41" s="15">
        <v>25</v>
      </c>
      <c r="K41" s="60">
        <v>2</v>
      </c>
      <c r="L41" s="61">
        <v>0.1</v>
      </c>
      <c r="M41" s="36" t="s">
        <v>123</v>
      </c>
      <c r="N41" s="32">
        <v>0.08</v>
      </c>
      <c r="O41" s="159">
        <v>1653</v>
      </c>
      <c r="P41" s="19"/>
      <c r="Q41" s="110"/>
      <c r="R41" s="110"/>
      <c r="S41" s="110"/>
      <c r="T41" s="110"/>
      <c r="U41" s="110"/>
      <c r="V41" s="110"/>
      <c r="W41" s="110"/>
      <c r="X41" s="110">
        <v>1272</v>
      </c>
      <c r="Y41" s="151">
        <f>+X41*(1+$W$3)</f>
        <v>1464.0720000000001</v>
      </c>
      <c r="Z41" s="151">
        <f t="shared" si="4"/>
        <v>1620.7277040000001</v>
      </c>
      <c r="AA41" s="151">
        <f t="shared" si="1"/>
        <v>1653.1422580800001</v>
      </c>
      <c r="AB41" s="151">
        <f t="shared" si="2"/>
        <v>1653</v>
      </c>
      <c r="AC41" s="168">
        <v>1653</v>
      </c>
    </row>
    <row r="42" spans="1:29">
      <c r="A42" s="51">
        <v>2747</v>
      </c>
      <c r="B42" s="9"/>
      <c r="C42" s="9" t="s">
        <v>124</v>
      </c>
      <c r="D42" s="7" t="s">
        <v>16</v>
      </c>
      <c r="E42" s="11" t="s">
        <v>17</v>
      </c>
      <c r="F42" s="20"/>
      <c r="G42" s="13" t="s">
        <v>19</v>
      </c>
      <c r="H42" s="14">
        <v>44719</v>
      </c>
      <c r="I42" s="25">
        <v>45815</v>
      </c>
      <c r="J42" s="15">
        <v>25</v>
      </c>
      <c r="K42" s="16">
        <v>3</v>
      </c>
      <c r="L42" s="18" t="s">
        <v>125</v>
      </c>
      <c r="M42" s="36" t="s">
        <v>126</v>
      </c>
      <c r="N42" s="36" t="s">
        <v>66</v>
      </c>
      <c r="O42" s="159">
        <v>529</v>
      </c>
      <c r="P42" s="145"/>
      <c r="Q42" s="146"/>
      <c r="R42" s="146"/>
      <c r="S42" s="146">
        <v>353</v>
      </c>
      <c r="T42" s="146"/>
      <c r="U42" s="146"/>
      <c r="V42" s="146"/>
      <c r="W42" s="146"/>
      <c r="X42" s="146"/>
      <c r="Y42" s="151">
        <f>+X42*(1+$W$3)</f>
        <v>0</v>
      </c>
      <c r="Z42" s="151">
        <f t="shared" si="4"/>
        <v>0</v>
      </c>
      <c r="AA42" s="151">
        <f t="shared" si="1"/>
        <v>0</v>
      </c>
      <c r="AB42" s="151">
        <f t="shared" si="2"/>
        <v>0</v>
      </c>
      <c r="AC42" s="168">
        <v>529</v>
      </c>
    </row>
    <row r="43" spans="1:29">
      <c r="A43" s="51">
        <v>2992</v>
      </c>
      <c r="B43" s="9"/>
      <c r="C43" s="9" t="s">
        <v>127</v>
      </c>
      <c r="D43" s="7" t="s">
        <v>16</v>
      </c>
      <c r="E43" s="11" t="s">
        <v>17</v>
      </c>
      <c r="F43" s="20"/>
      <c r="G43" s="62" t="s">
        <v>19</v>
      </c>
      <c r="H43" s="14">
        <v>45281</v>
      </c>
      <c r="I43" s="14">
        <v>46012</v>
      </c>
      <c r="J43" s="15">
        <v>25</v>
      </c>
      <c r="K43" s="16">
        <v>2</v>
      </c>
      <c r="L43" s="17" t="s">
        <v>128</v>
      </c>
      <c r="M43" s="36" t="s">
        <v>129</v>
      </c>
      <c r="N43" s="32">
        <v>0.02</v>
      </c>
      <c r="O43" s="159">
        <v>3110</v>
      </c>
      <c r="P43" s="145"/>
      <c r="Q43" s="146"/>
      <c r="R43" s="146"/>
      <c r="S43" s="146"/>
      <c r="T43" s="146"/>
      <c r="U43" s="146"/>
      <c r="V43" s="146">
        <v>2234</v>
      </c>
      <c r="W43" s="146"/>
      <c r="X43" s="146"/>
      <c r="Y43" s="146"/>
      <c r="Z43" s="151">
        <f t="shared" si="4"/>
        <v>0</v>
      </c>
      <c r="AA43" s="151">
        <f t="shared" si="1"/>
        <v>0</v>
      </c>
      <c r="AB43" s="151">
        <f t="shared" si="2"/>
        <v>0</v>
      </c>
      <c r="AC43" s="168">
        <v>3110</v>
      </c>
    </row>
    <row r="44" spans="1:29">
      <c r="A44" s="51">
        <v>3059</v>
      </c>
      <c r="B44" s="63"/>
      <c r="C44" s="9" t="s">
        <v>98</v>
      </c>
      <c r="D44" s="7" t="s">
        <v>16</v>
      </c>
      <c r="E44" s="11" t="s">
        <v>17</v>
      </c>
      <c r="F44" s="23"/>
      <c r="G44" s="16" t="s">
        <v>19</v>
      </c>
      <c r="H44" s="14">
        <v>45035</v>
      </c>
      <c r="I44" s="14">
        <v>45766</v>
      </c>
      <c r="J44" s="15">
        <v>25</v>
      </c>
      <c r="K44" s="16">
        <v>2</v>
      </c>
      <c r="L44" s="64" t="s">
        <v>130</v>
      </c>
      <c r="M44" s="57" t="s">
        <v>131</v>
      </c>
      <c r="N44" s="32" t="s">
        <v>112</v>
      </c>
      <c r="O44" s="159">
        <v>402</v>
      </c>
      <c r="P44" s="19"/>
      <c r="Q44" s="110"/>
      <c r="R44" s="110"/>
      <c r="S44" s="110"/>
      <c r="T44" s="110"/>
      <c r="U44" s="110"/>
      <c r="V44" s="110"/>
      <c r="W44" s="110"/>
      <c r="X44" s="110">
        <v>309</v>
      </c>
      <c r="Y44" s="151">
        <f>+X44*(1+$W$3)</f>
        <v>355.65899999999999</v>
      </c>
      <c r="Z44" s="151">
        <f t="shared" si="4"/>
        <v>393.71451300000001</v>
      </c>
      <c r="AA44" s="151">
        <f t="shared" si="1"/>
        <v>401.58880326000002</v>
      </c>
      <c r="AB44" s="151">
        <f t="shared" si="2"/>
        <v>402</v>
      </c>
      <c r="AC44" s="168">
        <v>402</v>
      </c>
    </row>
    <row r="45" spans="1:29">
      <c r="A45" s="8">
        <v>3160</v>
      </c>
      <c r="B45" s="5"/>
      <c r="C45" s="9" t="s">
        <v>132</v>
      </c>
      <c r="D45" s="7" t="s">
        <v>16</v>
      </c>
      <c r="E45" s="11" t="s">
        <v>17</v>
      </c>
      <c r="F45" s="20"/>
      <c r="G45" s="16" t="s">
        <v>19</v>
      </c>
      <c r="H45" s="14">
        <v>44004</v>
      </c>
      <c r="I45" s="14">
        <v>45830</v>
      </c>
      <c r="J45" s="15">
        <v>25</v>
      </c>
      <c r="K45" s="16">
        <v>5</v>
      </c>
      <c r="L45" s="29" t="s">
        <v>133</v>
      </c>
      <c r="M45" s="50"/>
      <c r="N45" s="36"/>
      <c r="O45" s="158">
        <v>8063</v>
      </c>
      <c r="P45" s="145"/>
      <c r="Q45" s="146"/>
      <c r="R45" s="146"/>
      <c r="S45" s="146"/>
      <c r="T45" s="146"/>
      <c r="U45" s="146">
        <v>5634</v>
      </c>
      <c r="V45" s="146"/>
      <c r="W45" s="146"/>
      <c r="X45" s="146"/>
      <c r="Y45" s="151"/>
      <c r="Z45" s="151"/>
      <c r="AA45" s="151"/>
      <c r="AB45" s="151"/>
      <c r="AC45" s="168">
        <v>8063</v>
      </c>
    </row>
    <row r="46" spans="1:29">
      <c r="A46" s="51">
        <v>3208</v>
      </c>
      <c r="B46" s="5"/>
      <c r="C46" s="9" t="s">
        <v>134</v>
      </c>
      <c r="D46" s="7" t="s">
        <v>16</v>
      </c>
      <c r="E46" s="11" t="s">
        <v>17</v>
      </c>
      <c r="F46" s="20"/>
      <c r="G46" s="27" t="s">
        <v>19</v>
      </c>
      <c r="H46" s="14">
        <v>42852</v>
      </c>
      <c r="I46" s="14">
        <v>45774</v>
      </c>
      <c r="J46" s="15">
        <v>25</v>
      </c>
      <c r="K46" s="16">
        <v>8</v>
      </c>
      <c r="L46" s="36" t="s">
        <v>135</v>
      </c>
      <c r="M46" s="36" t="s">
        <v>136</v>
      </c>
      <c r="N46" s="36"/>
      <c r="O46" s="159">
        <v>15277</v>
      </c>
      <c r="P46" s="19"/>
      <c r="Q46" s="110"/>
      <c r="R46" s="110">
        <v>10200</v>
      </c>
      <c r="S46" s="110"/>
      <c r="T46" s="110"/>
      <c r="U46" s="146"/>
      <c r="V46" s="146"/>
      <c r="W46" s="146"/>
      <c r="X46" s="110"/>
      <c r="Y46" s="151"/>
      <c r="Z46" s="151"/>
      <c r="AA46" s="151"/>
      <c r="AB46" s="151"/>
      <c r="AC46" s="168">
        <v>15277</v>
      </c>
    </row>
    <row r="47" spans="1:29">
      <c r="A47" s="8">
        <v>3248</v>
      </c>
      <c r="B47" s="9"/>
      <c r="C47" s="9" t="s">
        <v>137</v>
      </c>
      <c r="D47" s="7" t="s">
        <v>16</v>
      </c>
      <c r="E47" s="11" t="s">
        <v>17</v>
      </c>
      <c r="F47" s="23"/>
      <c r="G47" s="13" t="s">
        <v>19</v>
      </c>
      <c r="H47" s="14">
        <v>45069</v>
      </c>
      <c r="I47" s="14">
        <v>45800</v>
      </c>
      <c r="J47" s="15">
        <v>25</v>
      </c>
      <c r="K47" s="16">
        <v>2</v>
      </c>
      <c r="L47" s="17" t="s">
        <v>138</v>
      </c>
      <c r="M47" s="49" t="s">
        <v>139</v>
      </c>
      <c r="N47" s="49" t="s">
        <v>140</v>
      </c>
      <c r="O47" s="157">
        <v>5319</v>
      </c>
      <c r="P47" s="19"/>
      <c r="Q47" s="110"/>
      <c r="R47" s="110"/>
      <c r="S47" s="110"/>
      <c r="T47" s="110"/>
      <c r="U47" s="110"/>
      <c r="V47" s="110"/>
      <c r="W47" s="110"/>
      <c r="X47" s="110">
        <v>4093</v>
      </c>
      <c r="Y47" s="151">
        <f>+X47*(1+$W$3)</f>
        <v>4711.0429999999997</v>
      </c>
      <c r="Z47" s="151">
        <f t="shared" si="4"/>
        <v>5215.1246009999995</v>
      </c>
      <c r="AA47" s="151">
        <f t="shared" si="1"/>
        <v>5319.42709302</v>
      </c>
      <c r="AB47" s="151">
        <f t="shared" si="2"/>
        <v>5319</v>
      </c>
      <c r="AC47" s="168">
        <v>5319</v>
      </c>
    </row>
    <row r="48" spans="1:29">
      <c r="A48" s="8">
        <v>3395</v>
      </c>
      <c r="B48" s="9"/>
      <c r="C48" s="9" t="s">
        <v>141</v>
      </c>
      <c r="D48" s="7" t="s">
        <v>16</v>
      </c>
      <c r="E48" s="11" t="s">
        <v>17</v>
      </c>
      <c r="F48" s="20"/>
      <c r="G48" s="14" t="s">
        <v>19</v>
      </c>
      <c r="H48" s="14">
        <v>45240</v>
      </c>
      <c r="I48" s="25">
        <v>45971</v>
      </c>
      <c r="J48" s="15">
        <v>25</v>
      </c>
      <c r="K48" s="16">
        <v>2</v>
      </c>
      <c r="L48" s="56">
        <v>2E-3</v>
      </c>
      <c r="M48" s="36" t="s">
        <v>142</v>
      </c>
      <c r="N48" s="49"/>
      <c r="O48" s="154">
        <v>3990</v>
      </c>
      <c r="P48" s="19"/>
      <c r="Q48" s="110"/>
      <c r="R48" s="110"/>
      <c r="S48" s="110"/>
      <c r="T48" s="110"/>
      <c r="U48" s="110"/>
      <c r="V48" s="110"/>
      <c r="W48" s="110"/>
      <c r="X48" s="110">
        <v>3070</v>
      </c>
      <c r="Y48" s="151">
        <f>+X48*(1+$W$3)</f>
        <v>3533.57</v>
      </c>
      <c r="Z48" s="151">
        <f t="shared" si="4"/>
        <v>3911.6619900000001</v>
      </c>
      <c r="AA48" s="151">
        <f t="shared" si="1"/>
        <v>3989.8952297999999</v>
      </c>
      <c r="AB48" s="151">
        <f t="shared" si="2"/>
        <v>3990</v>
      </c>
      <c r="AC48" s="168">
        <v>3990</v>
      </c>
    </row>
    <row r="49" spans="1:29">
      <c r="A49" s="8">
        <v>3396</v>
      </c>
      <c r="B49" s="9"/>
      <c r="C49" s="9" t="s">
        <v>141</v>
      </c>
      <c r="D49" s="7" t="s">
        <v>16</v>
      </c>
      <c r="E49" s="11" t="s">
        <v>17</v>
      </c>
      <c r="F49" s="20"/>
      <c r="G49" s="14" t="s">
        <v>19</v>
      </c>
      <c r="H49" s="14">
        <v>45240</v>
      </c>
      <c r="I49" s="25">
        <v>45971</v>
      </c>
      <c r="J49" s="15">
        <v>25</v>
      </c>
      <c r="K49" s="16">
        <v>2</v>
      </c>
      <c r="L49" s="56">
        <v>2E-3</v>
      </c>
      <c r="M49" s="36" t="s">
        <v>142</v>
      </c>
      <c r="N49" s="49"/>
      <c r="O49" s="154">
        <v>3990</v>
      </c>
      <c r="P49" s="19"/>
      <c r="Q49" s="110"/>
      <c r="R49" s="110"/>
      <c r="S49" s="110"/>
      <c r="T49" s="110"/>
      <c r="U49" s="110"/>
      <c r="V49" s="110"/>
      <c r="W49" s="110"/>
      <c r="X49" s="110">
        <v>3070</v>
      </c>
      <c r="Y49" s="151">
        <f>+X49*(1+$W$3)</f>
        <v>3533.57</v>
      </c>
      <c r="Z49" s="151">
        <f t="shared" si="4"/>
        <v>3911.6619900000001</v>
      </c>
      <c r="AA49" s="151">
        <f t="shared" si="1"/>
        <v>3989.8952297999999</v>
      </c>
      <c r="AB49" s="151">
        <f t="shared" si="2"/>
        <v>3990</v>
      </c>
      <c r="AC49" s="168">
        <v>3990</v>
      </c>
    </row>
    <row r="50" spans="1:29">
      <c r="A50" s="65">
        <v>3591</v>
      </c>
      <c r="B50" s="66"/>
      <c r="C50" s="67" t="s">
        <v>143</v>
      </c>
      <c r="D50" s="7" t="s">
        <v>16</v>
      </c>
      <c r="E50" s="11" t="s">
        <v>17</v>
      </c>
      <c r="F50" s="23"/>
      <c r="G50" s="13" t="s">
        <v>19</v>
      </c>
      <c r="H50" s="14">
        <v>45414</v>
      </c>
      <c r="I50" s="14">
        <v>45779</v>
      </c>
      <c r="J50" s="15">
        <v>25</v>
      </c>
      <c r="K50" s="16">
        <v>1</v>
      </c>
      <c r="L50" s="36"/>
      <c r="M50" s="36" t="s">
        <v>144</v>
      </c>
      <c r="N50" s="49"/>
      <c r="O50" s="159">
        <v>16931</v>
      </c>
      <c r="P50" s="19"/>
      <c r="Q50" s="110"/>
      <c r="R50" s="110"/>
      <c r="S50" s="110"/>
      <c r="T50" s="110"/>
      <c r="U50" s="110"/>
      <c r="V50" s="110"/>
      <c r="W50" s="110"/>
      <c r="X50" s="110"/>
      <c r="Y50" s="110">
        <v>14995</v>
      </c>
      <c r="Z50" s="151">
        <f t="shared" si="4"/>
        <v>16599.465</v>
      </c>
      <c r="AA50" s="151">
        <f t="shared" si="1"/>
        <v>16931.454300000001</v>
      </c>
      <c r="AB50" s="151">
        <f t="shared" si="2"/>
        <v>16931</v>
      </c>
      <c r="AC50" s="168">
        <v>16931</v>
      </c>
    </row>
    <row r="51" spans="1:29">
      <c r="A51" s="68">
        <v>3739</v>
      </c>
      <c r="B51" s="10" t="s">
        <v>45</v>
      </c>
      <c r="C51" s="10" t="s">
        <v>145</v>
      </c>
      <c r="D51" s="7" t="s">
        <v>16</v>
      </c>
      <c r="E51" s="11" t="s">
        <v>17</v>
      </c>
      <c r="F51" s="23"/>
      <c r="G51" s="13" t="s">
        <v>19</v>
      </c>
      <c r="H51" s="25">
        <v>45040</v>
      </c>
      <c r="I51" s="25">
        <v>45771</v>
      </c>
      <c r="J51" s="15">
        <v>25</v>
      </c>
      <c r="K51" s="16">
        <v>2</v>
      </c>
      <c r="L51" s="69" t="s">
        <v>146</v>
      </c>
      <c r="M51" s="18" t="s">
        <v>147</v>
      </c>
      <c r="N51" s="69" t="s">
        <v>146</v>
      </c>
      <c r="O51" s="159">
        <v>1437</v>
      </c>
      <c r="P51" s="170"/>
      <c r="Q51" s="171"/>
      <c r="R51" s="171"/>
      <c r="S51" s="171"/>
      <c r="T51" s="171"/>
      <c r="U51" s="171"/>
      <c r="V51" s="171"/>
      <c r="W51" s="171"/>
      <c r="X51" s="110">
        <v>1106</v>
      </c>
      <c r="Y51" s="110">
        <f>+X51*(1+$W$3)</f>
        <v>1273.0060000000001</v>
      </c>
      <c r="Z51" s="151">
        <f t="shared" si="4"/>
        <v>1409.2176420000001</v>
      </c>
      <c r="AA51" s="151">
        <f t="shared" si="1"/>
        <v>1437.40199484</v>
      </c>
      <c r="AB51" s="151">
        <f t="shared" si="2"/>
        <v>1437</v>
      </c>
      <c r="AC51" s="168">
        <v>1437</v>
      </c>
    </row>
    <row r="52" spans="1:29">
      <c r="A52" s="68">
        <v>3823</v>
      </c>
      <c r="B52" s="9"/>
      <c r="C52" s="9" t="s">
        <v>148</v>
      </c>
      <c r="D52" s="7" t="s">
        <v>16</v>
      </c>
      <c r="E52" s="11" t="s">
        <v>17</v>
      </c>
      <c r="F52" s="20"/>
      <c r="G52" s="70" t="s">
        <v>19</v>
      </c>
      <c r="H52" s="14">
        <v>45131</v>
      </c>
      <c r="I52" s="14">
        <v>45862</v>
      </c>
      <c r="J52" s="15">
        <v>25</v>
      </c>
      <c r="K52" s="16">
        <v>2</v>
      </c>
      <c r="L52" s="49" t="s">
        <v>149</v>
      </c>
      <c r="M52" s="36" t="s">
        <v>150</v>
      </c>
      <c r="N52" s="49" t="s">
        <v>151</v>
      </c>
      <c r="O52" s="159">
        <v>504</v>
      </c>
      <c r="P52" s="19"/>
      <c r="Q52" s="110"/>
      <c r="R52" s="110"/>
      <c r="S52" s="110"/>
      <c r="T52" s="110"/>
      <c r="U52" s="110"/>
      <c r="V52" s="110"/>
      <c r="W52" s="110"/>
      <c r="X52" s="110">
        <v>388</v>
      </c>
      <c r="Y52" s="110">
        <f>+X52*(1+$W$3)</f>
        <v>446.58800000000002</v>
      </c>
      <c r="Z52" s="151">
        <f t="shared" si="4"/>
        <v>494.37291600000003</v>
      </c>
      <c r="AA52" s="151">
        <f t="shared" si="1"/>
        <v>504.26037432000004</v>
      </c>
      <c r="AB52" s="151">
        <f t="shared" si="2"/>
        <v>504</v>
      </c>
      <c r="AC52" s="168">
        <v>504</v>
      </c>
    </row>
    <row r="53" spans="1:29">
      <c r="A53" s="68">
        <v>3825</v>
      </c>
      <c r="B53" s="9"/>
      <c r="C53" s="9" t="s">
        <v>152</v>
      </c>
      <c r="D53" s="7" t="s">
        <v>16</v>
      </c>
      <c r="E53" s="11" t="s">
        <v>17</v>
      </c>
      <c r="F53" s="23"/>
      <c r="G53" s="16" t="s">
        <v>19</v>
      </c>
      <c r="H53" s="14">
        <v>45065</v>
      </c>
      <c r="I53" s="14">
        <v>45796</v>
      </c>
      <c r="J53" s="15">
        <v>25</v>
      </c>
      <c r="K53" s="16">
        <v>2</v>
      </c>
      <c r="L53" s="36" t="s">
        <v>153</v>
      </c>
      <c r="M53" s="36" t="s">
        <v>154</v>
      </c>
      <c r="N53" s="49" t="s">
        <v>155</v>
      </c>
      <c r="O53" s="159">
        <v>2350</v>
      </c>
      <c r="P53" s="19"/>
      <c r="Q53" s="110"/>
      <c r="R53" s="110"/>
      <c r="S53" s="110"/>
      <c r="T53" s="110"/>
      <c r="U53" s="110"/>
      <c r="V53" s="110"/>
      <c r="W53" s="110"/>
      <c r="X53" s="110">
        <v>1808</v>
      </c>
      <c r="Y53" s="110">
        <f>+X53*(1+$W$3)</f>
        <v>2081.0080000000003</v>
      </c>
      <c r="Z53" s="151">
        <f t="shared" si="4"/>
        <v>2303.6758560000003</v>
      </c>
      <c r="AA53" s="151">
        <f t="shared" si="1"/>
        <v>2349.7493731200002</v>
      </c>
      <c r="AB53" s="151">
        <f t="shared" si="2"/>
        <v>2350</v>
      </c>
      <c r="AC53" s="168">
        <v>2350</v>
      </c>
    </row>
    <row r="54" spans="1:29">
      <c r="A54" s="68">
        <v>3846</v>
      </c>
      <c r="B54" s="9"/>
      <c r="C54" s="9" t="s">
        <v>156</v>
      </c>
      <c r="D54" s="7" t="s">
        <v>16</v>
      </c>
      <c r="E54" s="11" t="s">
        <v>17</v>
      </c>
      <c r="F54" s="20"/>
      <c r="G54" s="16" t="s">
        <v>19</v>
      </c>
      <c r="H54" s="14">
        <v>44846</v>
      </c>
      <c r="I54" s="14">
        <v>45942</v>
      </c>
      <c r="J54" s="15">
        <v>25</v>
      </c>
      <c r="K54" s="70">
        <v>3</v>
      </c>
      <c r="L54" s="17" t="s">
        <v>99</v>
      </c>
      <c r="M54" s="71" t="s">
        <v>157</v>
      </c>
      <c r="N54" s="36"/>
      <c r="O54" s="159">
        <v>978</v>
      </c>
      <c r="P54" s="19"/>
      <c r="Q54" s="110"/>
      <c r="R54" s="110"/>
      <c r="S54" s="110"/>
      <c r="T54" s="110"/>
      <c r="U54" s="110"/>
      <c r="V54" s="110"/>
      <c r="W54" s="110">
        <v>725</v>
      </c>
      <c r="X54" s="151">
        <f>+W54*(1+$V$3)</f>
        <v>752.55000000000007</v>
      </c>
      <c r="Y54" s="151">
        <f>+X54*(1+$W$3)</f>
        <v>866.18505000000005</v>
      </c>
      <c r="Z54" s="151">
        <f t="shared" si="4"/>
        <v>958.86685035000005</v>
      </c>
      <c r="AA54" s="151">
        <f t="shared" si="1"/>
        <v>978.04418735700006</v>
      </c>
      <c r="AB54" s="151">
        <f t="shared" si="2"/>
        <v>978</v>
      </c>
      <c r="AC54" s="168">
        <v>978</v>
      </c>
    </row>
    <row r="55" spans="1:29">
      <c r="A55" s="68">
        <v>3847</v>
      </c>
      <c r="B55" s="9"/>
      <c r="C55" s="9" t="s">
        <v>158</v>
      </c>
      <c r="D55" s="7" t="s">
        <v>16</v>
      </c>
      <c r="E55" s="11" t="s">
        <v>17</v>
      </c>
      <c r="F55" s="20"/>
      <c r="G55" s="16" t="s">
        <v>19</v>
      </c>
      <c r="H55" s="25">
        <v>44846</v>
      </c>
      <c r="I55" s="14">
        <v>45942</v>
      </c>
      <c r="J55" s="15">
        <v>25</v>
      </c>
      <c r="K55" s="70">
        <v>3</v>
      </c>
      <c r="L55" s="17" t="s">
        <v>99</v>
      </c>
      <c r="M55" s="71" t="s">
        <v>159</v>
      </c>
      <c r="N55" s="36"/>
      <c r="O55" s="159">
        <v>978</v>
      </c>
      <c r="P55" s="19"/>
      <c r="Q55" s="110"/>
      <c r="R55" s="110"/>
      <c r="S55" s="110"/>
      <c r="T55" s="110"/>
      <c r="U55" s="110"/>
      <c r="V55" s="110"/>
      <c r="W55" s="110">
        <v>725</v>
      </c>
      <c r="X55" s="151">
        <f t="shared" ref="X55:X61" si="5">+W55*(1+$V$3)</f>
        <v>752.55000000000007</v>
      </c>
      <c r="Y55" s="151">
        <f t="shared" ref="Y55:Y62" si="6">+X55*(1+$W$3)</f>
        <v>866.18505000000005</v>
      </c>
      <c r="Z55" s="151">
        <f t="shared" si="4"/>
        <v>958.86685035000005</v>
      </c>
      <c r="AA55" s="151">
        <f t="shared" si="1"/>
        <v>978.04418735700006</v>
      </c>
      <c r="AB55" s="151">
        <f t="shared" si="2"/>
        <v>978</v>
      </c>
      <c r="AC55" s="168">
        <v>978</v>
      </c>
    </row>
    <row r="56" spans="1:29">
      <c r="A56" s="68">
        <v>3848</v>
      </c>
      <c r="B56" s="9"/>
      <c r="C56" s="9" t="s">
        <v>156</v>
      </c>
      <c r="D56" s="7" t="s">
        <v>16</v>
      </c>
      <c r="E56" s="11" t="s">
        <v>17</v>
      </c>
      <c r="F56" s="20"/>
      <c r="G56" s="16" t="s">
        <v>19</v>
      </c>
      <c r="H56" s="14">
        <v>44846</v>
      </c>
      <c r="I56" s="14">
        <v>45942</v>
      </c>
      <c r="J56" s="15">
        <v>25</v>
      </c>
      <c r="K56" s="70">
        <v>3</v>
      </c>
      <c r="L56" s="17" t="s">
        <v>99</v>
      </c>
      <c r="M56" s="71" t="s">
        <v>160</v>
      </c>
      <c r="N56" s="36"/>
      <c r="O56" s="159">
        <v>978</v>
      </c>
      <c r="P56" s="19"/>
      <c r="Q56" s="110"/>
      <c r="R56" s="110"/>
      <c r="S56" s="110"/>
      <c r="T56" s="110"/>
      <c r="U56" s="110"/>
      <c r="V56" s="110"/>
      <c r="W56" s="110">
        <v>725</v>
      </c>
      <c r="X56" s="151">
        <f t="shared" si="5"/>
        <v>752.55000000000007</v>
      </c>
      <c r="Y56" s="151">
        <f t="shared" si="6"/>
        <v>866.18505000000005</v>
      </c>
      <c r="Z56" s="151">
        <f t="shared" si="4"/>
        <v>958.86685035000005</v>
      </c>
      <c r="AA56" s="151">
        <f t="shared" si="1"/>
        <v>978.04418735700006</v>
      </c>
      <c r="AB56" s="151">
        <f t="shared" si="2"/>
        <v>978</v>
      </c>
      <c r="AC56" s="168">
        <v>978</v>
      </c>
    </row>
    <row r="57" spans="1:29">
      <c r="A57" s="68">
        <v>3849</v>
      </c>
      <c r="B57" s="9"/>
      <c r="C57" s="9" t="s">
        <v>158</v>
      </c>
      <c r="D57" s="7" t="s">
        <v>16</v>
      </c>
      <c r="E57" s="11" t="s">
        <v>17</v>
      </c>
      <c r="F57" s="20"/>
      <c r="G57" s="16" t="s">
        <v>19</v>
      </c>
      <c r="H57" s="14">
        <v>44846</v>
      </c>
      <c r="I57" s="14">
        <v>45942</v>
      </c>
      <c r="J57" s="15">
        <v>25</v>
      </c>
      <c r="K57" s="70">
        <v>3</v>
      </c>
      <c r="L57" s="17"/>
      <c r="M57" s="49" t="s">
        <v>161</v>
      </c>
      <c r="N57" s="36"/>
      <c r="O57" s="159">
        <v>978</v>
      </c>
      <c r="P57" s="19"/>
      <c r="Q57" s="110"/>
      <c r="R57" s="110"/>
      <c r="S57" s="110"/>
      <c r="T57" s="110"/>
      <c r="U57" s="110"/>
      <c r="V57" s="110"/>
      <c r="W57" s="110">
        <v>725</v>
      </c>
      <c r="X57" s="151">
        <f t="shared" si="5"/>
        <v>752.55000000000007</v>
      </c>
      <c r="Y57" s="151">
        <f t="shared" si="6"/>
        <v>866.18505000000005</v>
      </c>
      <c r="Z57" s="151">
        <f t="shared" si="4"/>
        <v>958.86685035000005</v>
      </c>
      <c r="AA57" s="151">
        <f t="shared" si="1"/>
        <v>978.04418735700006</v>
      </c>
      <c r="AB57" s="151">
        <f t="shared" si="2"/>
        <v>978</v>
      </c>
      <c r="AC57" s="168">
        <v>978</v>
      </c>
    </row>
    <row r="58" spans="1:29">
      <c r="A58" s="68">
        <v>3850</v>
      </c>
      <c r="B58" s="9"/>
      <c r="C58" s="9" t="s">
        <v>162</v>
      </c>
      <c r="D58" s="7" t="s">
        <v>16</v>
      </c>
      <c r="E58" s="11" t="s">
        <v>17</v>
      </c>
      <c r="F58" s="12" t="s">
        <v>163</v>
      </c>
      <c r="G58" s="16" t="s">
        <v>19</v>
      </c>
      <c r="H58" s="14">
        <v>44846</v>
      </c>
      <c r="I58" s="14">
        <v>45942</v>
      </c>
      <c r="J58" s="15">
        <v>25</v>
      </c>
      <c r="K58" s="70">
        <v>3</v>
      </c>
      <c r="L58" s="17" t="s">
        <v>164</v>
      </c>
      <c r="M58" s="49" t="s">
        <v>165</v>
      </c>
      <c r="N58" s="36"/>
      <c r="O58" s="159">
        <v>1952</v>
      </c>
      <c r="P58" s="19"/>
      <c r="Q58" s="110"/>
      <c r="R58" s="110"/>
      <c r="S58" s="110"/>
      <c r="T58" s="110"/>
      <c r="U58" s="110"/>
      <c r="V58" s="110"/>
      <c r="W58" s="110">
        <v>1447</v>
      </c>
      <c r="X58" s="151">
        <f t="shared" si="5"/>
        <v>1501.9860000000001</v>
      </c>
      <c r="Y58" s="151">
        <f t="shared" si="6"/>
        <v>1728.7858860000001</v>
      </c>
      <c r="Z58" s="151">
        <f t="shared" si="4"/>
        <v>1913.7659758020002</v>
      </c>
      <c r="AA58" s="151">
        <f t="shared" si="1"/>
        <v>1952.0412953180403</v>
      </c>
      <c r="AB58" s="151">
        <f t="shared" si="2"/>
        <v>1952</v>
      </c>
      <c r="AC58" s="168">
        <v>1952</v>
      </c>
    </row>
    <row r="59" spans="1:29">
      <c r="A59" s="68">
        <v>3851</v>
      </c>
      <c r="B59" s="9"/>
      <c r="C59" s="9" t="s">
        <v>162</v>
      </c>
      <c r="D59" s="7" t="s">
        <v>16</v>
      </c>
      <c r="E59" s="11" t="s">
        <v>17</v>
      </c>
      <c r="F59" s="20"/>
      <c r="G59" s="16" t="s">
        <v>19</v>
      </c>
      <c r="H59" s="14">
        <v>44846</v>
      </c>
      <c r="I59" s="14">
        <v>45942</v>
      </c>
      <c r="J59" s="15">
        <v>25</v>
      </c>
      <c r="K59" s="70">
        <v>3</v>
      </c>
      <c r="L59" s="17" t="s">
        <v>164</v>
      </c>
      <c r="M59" s="49" t="s">
        <v>166</v>
      </c>
      <c r="N59" s="36"/>
      <c r="O59" s="159">
        <v>1952</v>
      </c>
      <c r="P59" s="19"/>
      <c r="Q59" s="110"/>
      <c r="R59" s="110"/>
      <c r="S59" s="110"/>
      <c r="T59" s="110"/>
      <c r="U59" s="110"/>
      <c r="V59" s="110"/>
      <c r="W59" s="110">
        <v>1447</v>
      </c>
      <c r="X59" s="151">
        <f t="shared" si="5"/>
        <v>1501.9860000000001</v>
      </c>
      <c r="Y59" s="151">
        <f t="shared" si="6"/>
        <v>1728.7858860000001</v>
      </c>
      <c r="Z59" s="151">
        <f t="shared" si="4"/>
        <v>1913.7659758020002</v>
      </c>
      <c r="AA59" s="151">
        <f t="shared" si="1"/>
        <v>1952.0412953180403</v>
      </c>
      <c r="AB59" s="151">
        <f t="shared" si="2"/>
        <v>1952</v>
      </c>
      <c r="AC59" s="168">
        <v>1952</v>
      </c>
    </row>
    <row r="60" spans="1:29">
      <c r="A60" s="68">
        <v>3852</v>
      </c>
      <c r="B60" s="9"/>
      <c r="C60" s="9" t="s">
        <v>148</v>
      </c>
      <c r="D60" s="7" t="s">
        <v>16</v>
      </c>
      <c r="E60" s="11" t="s">
        <v>17</v>
      </c>
      <c r="F60" s="20"/>
      <c r="G60" s="16" t="s">
        <v>19</v>
      </c>
      <c r="H60" s="14">
        <v>44846</v>
      </c>
      <c r="I60" s="14">
        <v>45942</v>
      </c>
      <c r="J60" s="15">
        <v>25</v>
      </c>
      <c r="K60" s="70">
        <v>3</v>
      </c>
      <c r="L60" s="17" t="s">
        <v>99</v>
      </c>
      <c r="M60" s="49" t="s">
        <v>167</v>
      </c>
      <c r="N60" s="36"/>
      <c r="O60" s="159">
        <v>978</v>
      </c>
      <c r="P60" s="19"/>
      <c r="Q60" s="110"/>
      <c r="R60" s="110"/>
      <c r="S60" s="110"/>
      <c r="T60" s="110"/>
      <c r="U60" s="110"/>
      <c r="V60" s="110"/>
      <c r="W60" s="110">
        <v>725</v>
      </c>
      <c r="X60" s="151">
        <f t="shared" si="5"/>
        <v>752.55000000000007</v>
      </c>
      <c r="Y60" s="151">
        <f t="shared" si="6"/>
        <v>866.18505000000005</v>
      </c>
      <c r="Z60" s="151">
        <f t="shared" si="4"/>
        <v>958.86685035000005</v>
      </c>
      <c r="AA60" s="151">
        <f t="shared" si="1"/>
        <v>978.04418735700006</v>
      </c>
      <c r="AB60" s="151">
        <f t="shared" si="2"/>
        <v>978</v>
      </c>
      <c r="AC60" s="168">
        <v>978</v>
      </c>
    </row>
    <row r="61" spans="1:29">
      <c r="A61" s="72">
        <v>3967</v>
      </c>
      <c r="B61" s="9"/>
      <c r="C61" s="10" t="s">
        <v>168</v>
      </c>
      <c r="D61" s="7" t="s">
        <v>16</v>
      </c>
      <c r="E61" s="11" t="s">
        <v>17</v>
      </c>
      <c r="F61" s="20"/>
      <c r="G61" s="16" t="s">
        <v>19</v>
      </c>
      <c r="H61" s="14">
        <v>44776</v>
      </c>
      <c r="I61" s="14">
        <v>45872</v>
      </c>
      <c r="J61" s="15">
        <v>25</v>
      </c>
      <c r="K61" s="16">
        <v>3</v>
      </c>
      <c r="L61" s="36" t="s">
        <v>169</v>
      </c>
      <c r="M61" s="50" t="s">
        <v>170</v>
      </c>
      <c r="N61" s="36" t="s">
        <v>169</v>
      </c>
      <c r="O61" s="154">
        <v>3530</v>
      </c>
      <c r="P61" s="19"/>
      <c r="Q61" s="110"/>
      <c r="R61" s="110"/>
      <c r="S61" s="110"/>
      <c r="T61" s="110"/>
      <c r="U61" s="110"/>
      <c r="V61" s="110"/>
      <c r="W61" s="110">
        <v>2617</v>
      </c>
      <c r="X61" s="151">
        <f t="shared" si="5"/>
        <v>2716.4459999999999</v>
      </c>
      <c r="Y61" s="151">
        <f t="shared" si="6"/>
        <v>3126.6293460000002</v>
      </c>
      <c r="Z61" s="151">
        <f t="shared" si="4"/>
        <v>3461.178686022</v>
      </c>
      <c r="AA61" s="151">
        <f t="shared" si="1"/>
        <v>3530.40225974244</v>
      </c>
      <c r="AB61" s="151">
        <f t="shared" si="2"/>
        <v>3530</v>
      </c>
      <c r="AC61" s="168">
        <v>3530</v>
      </c>
    </row>
    <row r="62" spans="1:29">
      <c r="A62" s="72">
        <v>4001</v>
      </c>
      <c r="B62" s="9"/>
      <c r="C62" s="9" t="s">
        <v>171</v>
      </c>
      <c r="D62" s="7" t="s">
        <v>16</v>
      </c>
      <c r="E62" s="11" t="s">
        <v>17</v>
      </c>
      <c r="F62" s="20"/>
      <c r="G62" s="16" t="s">
        <v>19</v>
      </c>
      <c r="H62" s="14">
        <v>45222</v>
      </c>
      <c r="I62" s="14">
        <v>45953</v>
      </c>
      <c r="J62" s="15">
        <v>25</v>
      </c>
      <c r="K62" s="70">
        <v>2</v>
      </c>
      <c r="L62" s="50" t="s">
        <v>149</v>
      </c>
      <c r="M62" s="49" t="s">
        <v>172</v>
      </c>
      <c r="N62" s="50" t="s">
        <v>149</v>
      </c>
      <c r="O62" s="159">
        <v>1009</v>
      </c>
      <c r="P62" s="19"/>
      <c r="Q62" s="110"/>
      <c r="R62" s="110"/>
      <c r="S62" s="110"/>
      <c r="T62" s="110"/>
      <c r="U62" s="110"/>
      <c r="V62" s="110"/>
      <c r="W62" s="110"/>
      <c r="X62" s="110">
        <v>776</v>
      </c>
      <c r="Y62" s="151">
        <f t="shared" si="6"/>
        <v>893.17600000000004</v>
      </c>
      <c r="Z62" s="151">
        <f t="shared" si="4"/>
        <v>988.74583200000006</v>
      </c>
      <c r="AA62" s="151">
        <f t="shared" si="1"/>
        <v>1008.5207486400001</v>
      </c>
      <c r="AB62" s="151">
        <f t="shared" si="2"/>
        <v>1009</v>
      </c>
      <c r="AC62" s="168">
        <v>1009</v>
      </c>
    </row>
    <row r="63" spans="1:29" ht="26.25">
      <c r="A63" s="68">
        <v>4337</v>
      </c>
      <c r="B63" s="9"/>
      <c r="C63" s="9" t="s">
        <v>119</v>
      </c>
      <c r="D63" s="7" t="s">
        <v>16</v>
      </c>
      <c r="E63" s="11" t="s">
        <v>17</v>
      </c>
      <c r="F63" s="23"/>
      <c r="G63" s="70" t="s">
        <v>19</v>
      </c>
      <c r="H63" s="14">
        <v>45397</v>
      </c>
      <c r="I63" s="14">
        <v>45762</v>
      </c>
      <c r="J63" s="15">
        <v>25</v>
      </c>
      <c r="K63" s="16">
        <v>1</v>
      </c>
      <c r="L63" s="73" t="s">
        <v>173</v>
      </c>
      <c r="M63" s="36" t="s">
        <v>174</v>
      </c>
      <c r="N63" s="49"/>
      <c r="O63" s="162">
        <v>1426</v>
      </c>
      <c r="P63" s="19"/>
      <c r="Q63" s="110"/>
      <c r="R63" s="110"/>
      <c r="S63" s="110"/>
      <c r="T63" s="110"/>
      <c r="U63" s="110"/>
      <c r="V63" s="110"/>
      <c r="W63" s="110"/>
      <c r="X63" s="110"/>
      <c r="Y63" s="110">
        <v>1263</v>
      </c>
      <c r="Z63" s="151">
        <f t="shared" si="4"/>
        <v>1398.1410000000001</v>
      </c>
      <c r="AA63" s="151">
        <f t="shared" si="1"/>
        <v>1426.10382</v>
      </c>
      <c r="AB63" s="151">
        <f t="shared" si="2"/>
        <v>1426</v>
      </c>
      <c r="AC63" s="168">
        <v>1426</v>
      </c>
    </row>
    <row r="64" spans="1:29">
      <c r="A64" s="68">
        <v>4442</v>
      </c>
      <c r="B64" s="9"/>
      <c r="C64" s="9" t="s">
        <v>85</v>
      </c>
      <c r="D64" s="7" t="s">
        <v>16</v>
      </c>
      <c r="E64" s="11" t="s">
        <v>17</v>
      </c>
      <c r="F64" s="20"/>
      <c r="G64" s="27" t="s">
        <v>19</v>
      </c>
      <c r="H64" s="14">
        <v>44819</v>
      </c>
      <c r="I64" s="25">
        <v>45915</v>
      </c>
      <c r="J64" s="15">
        <v>25</v>
      </c>
      <c r="K64" s="16">
        <v>3</v>
      </c>
      <c r="L64" s="74" t="s">
        <v>175</v>
      </c>
      <c r="M64" s="49" t="s">
        <v>176</v>
      </c>
      <c r="N64" s="36" t="s">
        <v>177</v>
      </c>
      <c r="O64" s="159">
        <v>7966</v>
      </c>
      <c r="P64" s="19"/>
      <c r="Q64" s="110"/>
      <c r="R64" s="110"/>
      <c r="S64" s="110"/>
      <c r="T64" s="110"/>
      <c r="U64" s="110"/>
      <c r="V64" s="110"/>
      <c r="W64" s="110">
        <v>5905</v>
      </c>
      <c r="X64" s="151">
        <f>+W64*(1+$V$3)</f>
        <v>6129.39</v>
      </c>
      <c r="Y64" s="151">
        <f>+X64*(1+$W$3)</f>
        <v>7054.9278900000008</v>
      </c>
      <c r="Z64" s="151">
        <f t="shared" si="4"/>
        <v>7809.8051742300004</v>
      </c>
      <c r="AA64" s="151">
        <f t="shared" si="1"/>
        <v>7966.0012777146003</v>
      </c>
      <c r="AB64" s="151">
        <f t="shared" si="2"/>
        <v>7966</v>
      </c>
      <c r="AC64" s="168">
        <v>7966</v>
      </c>
    </row>
    <row r="65" spans="1:29">
      <c r="A65" s="68">
        <v>4456</v>
      </c>
      <c r="B65" s="9"/>
      <c r="C65" s="9" t="s">
        <v>98</v>
      </c>
      <c r="D65" s="7" t="s">
        <v>16</v>
      </c>
      <c r="E65" s="11" t="s">
        <v>17</v>
      </c>
      <c r="F65" s="20"/>
      <c r="G65" s="16" t="s">
        <v>19</v>
      </c>
      <c r="H65" s="25">
        <v>45211</v>
      </c>
      <c r="I65" s="25">
        <v>45942</v>
      </c>
      <c r="J65" s="15">
        <v>25</v>
      </c>
      <c r="K65" s="60">
        <v>2</v>
      </c>
      <c r="L65" s="29" t="s">
        <v>78</v>
      </c>
      <c r="M65" s="49" t="s">
        <v>100</v>
      </c>
      <c r="N65" s="36" t="s">
        <v>68</v>
      </c>
      <c r="O65" s="159">
        <v>402</v>
      </c>
      <c r="P65" s="19"/>
      <c r="Q65" s="110"/>
      <c r="R65" s="110"/>
      <c r="S65" s="110"/>
      <c r="T65" s="110"/>
      <c r="U65" s="110"/>
      <c r="V65" s="110"/>
      <c r="W65" s="110"/>
      <c r="X65" s="110">
        <v>309</v>
      </c>
      <c r="Y65" s="151">
        <f>+X65*(1+$W$3)</f>
        <v>355.65899999999999</v>
      </c>
      <c r="Z65" s="151">
        <f t="shared" si="4"/>
        <v>393.71451300000001</v>
      </c>
      <c r="AA65" s="151">
        <f t="shared" si="1"/>
        <v>401.58880326000002</v>
      </c>
      <c r="AB65" s="151">
        <f t="shared" si="2"/>
        <v>402</v>
      </c>
      <c r="AC65" s="168">
        <v>402</v>
      </c>
    </row>
    <row r="66" spans="1:29">
      <c r="A66" s="68">
        <v>4457</v>
      </c>
      <c r="B66" s="9"/>
      <c r="C66" s="9" t="s">
        <v>98</v>
      </c>
      <c r="D66" s="7" t="s">
        <v>16</v>
      </c>
      <c r="E66" s="11" t="s">
        <v>17</v>
      </c>
      <c r="F66" s="20"/>
      <c r="G66" s="16" t="s">
        <v>19</v>
      </c>
      <c r="H66" s="14">
        <v>45190</v>
      </c>
      <c r="I66" s="14">
        <v>45921</v>
      </c>
      <c r="J66" s="15">
        <v>25</v>
      </c>
      <c r="K66" s="60">
        <v>2</v>
      </c>
      <c r="L66" s="29" t="s">
        <v>99</v>
      </c>
      <c r="M66" s="49" t="s">
        <v>178</v>
      </c>
      <c r="N66" s="36" t="s">
        <v>68</v>
      </c>
      <c r="O66" s="159">
        <v>402</v>
      </c>
      <c r="P66" s="19"/>
      <c r="Q66" s="110"/>
      <c r="R66" s="110"/>
      <c r="S66" s="110"/>
      <c r="T66" s="110"/>
      <c r="U66" s="110"/>
      <c r="V66" s="110"/>
      <c r="W66" s="110"/>
      <c r="X66" s="110">
        <v>309</v>
      </c>
      <c r="Y66" s="151">
        <f>+X66*(1+$W$3)</f>
        <v>355.65899999999999</v>
      </c>
      <c r="Z66" s="151">
        <f t="shared" si="4"/>
        <v>393.71451300000001</v>
      </c>
      <c r="AA66" s="151">
        <f t="shared" ref="AA66:AA129" si="7">+Z66*(1+$Y$3)</f>
        <v>401.58880326000002</v>
      </c>
      <c r="AB66" s="151">
        <f t="shared" ref="AB66:AB129" si="8">ROUND(AA66,0)</f>
        <v>402</v>
      </c>
      <c r="AC66" s="168">
        <v>402</v>
      </c>
    </row>
    <row r="67" spans="1:29">
      <c r="A67" s="68">
        <v>4533</v>
      </c>
      <c r="B67" s="9"/>
      <c r="C67" s="9" t="s">
        <v>34</v>
      </c>
      <c r="D67" s="7" t="s">
        <v>16</v>
      </c>
      <c r="E67" s="11" t="s">
        <v>17</v>
      </c>
      <c r="F67" s="75"/>
      <c r="G67" s="76" t="s">
        <v>19</v>
      </c>
      <c r="H67" s="14">
        <v>45033</v>
      </c>
      <c r="I67" s="14">
        <v>45764</v>
      </c>
      <c r="J67" s="15">
        <v>25</v>
      </c>
      <c r="K67" s="77">
        <v>2</v>
      </c>
      <c r="L67" s="29" t="s">
        <v>37</v>
      </c>
      <c r="M67" s="36" t="s">
        <v>179</v>
      </c>
      <c r="N67" s="36" t="s">
        <v>37</v>
      </c>
      <c r="O67" s="162">
        <v>2723</v>
      </c>
      <c r="P67" s="145"/>
      <c r="Q67" s="146"/>
      <c r="R67" s="146"/>
      <c r="S67" s="146"/>
      <c r="T67" s="146"/>
      <c r="U67" s="146"/>
      <c r="V67" s="146"/>
      <c r="W67" s="146"/>
      <c r="X67" s="146"/>
      <c r="Y67" s="146">
        <f>+X67*(1+$W$3)</f>
        <v>0</v>
      </c>
      <c r="Z67" s="146">
        <f t="shared" si="4"/>
        <v>0</v>
      </c>
      <c r="AA67" s="146">
        <f t="shared" si="7"/>
        <v>0</v>
      </c>
      <c r="AB67" s="146">
        <f t="shared" si="8"/>
        <v>0</v>
      </c>
      <c r="AC67" s="168">
        <v>2723</v>
      </c>
    </row>
    <row r="68" spans="1:29">
      <c r="A68" s="68">
        <v>4538</v>
      </c>
      <c r="B68" s="9"/>
      <c r="C68" s="9" t="s">
        <v>61</v>
      </c>
      <c r="D68" s="7" t="s">
        <v>16</v>
      </c>
      <c r="E68" s="11" t="s">
        <v>17</v>
      </c>
      <c r="F68" s="20"/>
      <c r="G68" s="21" t="s">
        <v>19</v>
      </c>
      <c r="H68" s="14">
        <v>45245</v>
      </c>
      <c r="I68" s="14">
        <v>45976</v>
      </c>
      <c r="J68" s="15">
        <v>25</v>
      </c>
      <c r="K68" s="16">
        <v>2</v>
      </c>
      <c r="L68" s="36" t="s">
        <v>115</v>
      </c>
      <c r="M68" s="36" t="s">
        <v>180</v>
      </c>
      <c r="N68" s="36" t="s">
        <v>64</v>
      </c>
      <c r="O68" s="162">
        <v>1664</v>
      </c>
      <c r="P68" s="19" t="s">
        <v>433</v>
      </c>
      <c r="Q68" s="110"/>
      <c r="R68" s="110"/>
      <c r="S68" s="110"/>
      <c r="T68" s="110"/>
      <c r="U68" s="110"/>
      <c r="V68" s="110"/>
      <c r="W68" s="110"/>
      <c r="X68" s="110">
        <v>1280</v>
      </c>
      <c r="Y68" s="151">
        <f>+X68*(1+$W$3)</f>
        <v>1473.28</v>
      </c>
      <c r="Z68" s="151">
        <f t="shared" si="4"/>
        <v>1630.9209599999999</v>
      </c>
      <c r="AA68" s="151">
        <f t="shared" si="7"/>
        <v>1663.5393792</v>
      </c>
      <c r="AB68" s="151">
        <f t="shared" si="8"/>
        <v>1664</v>
      </c>
      <c r="AC68" s="168">
        <v>1664</v>
      </c>
    </row>
    <row r="69" spans="1:29">
      <c r="A69" s="68">
        <v>4863</v>
      </c>
      <c r="B69" s="9"/>
      <c r="C69" s="9" t="s">
        <v>15</v>
      </c>
      <c r="D69" s="7" t="s">
        <v>16</v>
      </c>
      <c r="E69" s="11" t="s">
        <v>17</v>
      </c>
      <c r="F69" s="23"/>
      <c r="G69" s="16" t="s">
        <v>19</v>
      </c>
      <c r="H69" s="14">
        <v>45399</v>
      </c>
      <c r="I69" s="14">
        <v>45764</v>
      </c>
      <c r="J69" s="15">
        <v>25</v>
      </c>
      <c r="K69" s="16">
        <v>1</v>
      </c>
      <c r="L69" s="36" t="s">
        <v>181</v>
      </c>
      <c r="M69" s="32" t="s">
        <v>182</v>
      </c>
      <c r="N69" s="36" t="s">
        <v>183</v>
      </c>
      <c r="O69" s="159">
        <v>2594</v>
      </c>
      <c r="P69" s="19"/>
      <c r="Q69" s="110"/>
      <c r="R69" s="110"/>
      <c r="S69" s="110"/>
      <c r="T69" s="110"/>
      <c r="U69" s="110"/>
      <c r="V69" s="110"/>
      <c r="W69" s="110"/>
      <c r="X69" s="110"/>
      <c r="Y69" s="110">
        <v>2297</v>
      </c>
      <c r="Z69" s="151">
        <f t="shared" si="4"/>
        <v>2542.779</v>
      </c>
      <c r="AA69" s="151">
        <f t="shared" si="7"/>
        <v>2593.6345799999999</v>
      </c>
      <c r="AB69" s="151">
        <f t="shared" si="8"/>
        <v>2594</v>
      </c>
      <c r="AC69" s="168">
        <v>2594</v>
      </c>
    </row>
    <row r="70" spans="1:29">
      <c r="A70" s="68">
        <v>4984</v>
      </c>
      <c r="B70" s="9"/>
      <c r="C70" s="9" t="s">
        <v>184</v>
      </c>
      <c r="D70" s="7" t="s">
        <v>16</v>
      </c>
      <c r="E70" s="11" t="s">
        <v>17</v>
      </c>
      <c r="F70" s="20"/>
      <c r="G70" s="78" t="s">
        <v>19</v>
      </c>
      <c r="H70" s="14">
        <v>45243</v>
      </c>
      <c r="I70" s="14">
        <v>45974</v>
      </c>
      <c r="J70" s="15">
        <v>25</v>
      </c>
      <c r="K70" s="16">
        <v>2</v>
      </c>
      <c r="L70" s="79" t="s">
        <v>185</v>
      </c>
      <c r="M70" s="36" t="s">
        <v>186</v>
      </c>
      <c r="N70" s="36" t="s">
        <v>187</v>
      </c>
      <c r="O70" s="159">
        <v>1479</v>
      </c>
      <c r="P70" s="19"/>
      <c r="Q70" s="110"/>
      <c r="R70" s="110"/>
      <c r="S70" s="110"/>
      <c r="T70" s="110"/>
      <c r="U70" s="110"/>
      <c r="V70" s="110"/>
      <c r="W70" s="110"/>
      <c r="X70" s="110">
        <v>1138</v>
      </c>
      <c r="Y70" s="151">
        <f>+X70*(1+$W$3)</f>
        <v>1309.838</v>
      </c>
      <c r="Z70" s="151">
        <f t="shared" si="4"/>
        <v>1449.9906659999999</v>
      </c>
      <c r="AA70" s="151">
        <f t="shared" si="7"/>
        <v>1478.9904793199998</v>
      </c>
      <c r="AB70" s="151">
        <f t="shared" si="8"/>
        <v>1479</v>
      </c>
      <c r="AC70" s="168">
        <v>1479</v>
      </c>
    </row>
    <row r="71" spans="1:29">
      <c r="A71" s="68">
        <v>5156</v>
      </c>
      <c r="B71" s="9"/>
      <c r="C71" s="80" t="s">
        <v>98</v>
      </c>
      <c r="D71" s="7" t="s">
        <v>16</v>
      </c>
      <c r="E71" s="11" t="s">
        <v>17</v>
      </c>
      <c r="F71" s="20"/>
      <c r="G71" s="16" t="s">
        <v>19</v>
      </c>
      <c r="H71" s="14">
        <v>45498</v>
      </c>
      <c r="I71" s="14">
        <v>45863</v>
      </c>
      <c r="J71" s="15">
        <v>25</v>
      </c>
      <c r="K71" s="16">
        <v>1</v>
      </c>
      <c r="L71" s="29" t="s">
        <v>99</v>
      </c>
      <c r="M71" s="49" t="s">
        <v>100</v>
      </c>
      <c r="N71" s="36" t="s">
        <v>68</v>
      </c>
      <c r="O71" s="154">
        <v>403</v>
      </c>
      <c r="P71" s="19"/>
      <c r="Q71" s="110"/>
      <c r="R71" s="110"/>
      <c r="S71" s="110"/>
      <c r="T71" s="110"/>
      <c r="U71" s="110"/>
      <c r="V71" s="110"/>
      <c r="W71" s="110"/>
      <c r="X71" s="110"/>
      <c r="Y71" s="110">
        <v>357</v>
      </c>
      <c r="Z71" s="151">
        <f t="shared" si="4"/>
        <v>395.19900000000001</v>
      </c>
      <c r="AA71" s="151">
        <f t="shared" si="7"/>
        <v>403.10298</v>
      </c>
      <c r="AB71" s="151">
        <f t="shared" si="8"/>
        <v>403</v>
      </c>
      <c r="AC71" s="168">
        <v>403</v>
      </c>
    </row>
    <row r="72" spans="1:29">
      <c r="A72" s="68">
        <v>5157</v>
      </c>
      <c r="B72" s="9"/>
      <c r="C72" s="80" t="s">
        <v>98</v>
      </c>
      <c r="D72" s="7" t="s">
        <v>16</v>
      </c>
      <c r="E72" s="11" t="s">
        <v>17</v>
      </c>
      <c r="F72" s="20"/>
      <c r="G72" s="27" t="s">
        <v>19</v>
      </c>
      <c r="H72" s="14">
        <v>45190</v>
      </c>
      <c r="I72" s="14">
        <v>45921</v>
      </c>
      <c r="J72" s="15">
        <v>25</v>
      </c>
      <c r="K72" s="16">
        <v>2</v>
      </c>
      <c r="L72" s="29" t="s">
        <v>99</v>
      </c>
      <c r="M72" s="49" t="s">
        <v>100</v>
      </c>
      <c r="N72" s="36" t="s">
        <v>68</v>
      </c>
      <c r="O72" s="154">
        <v>402</v>
      </c>
      <c r="P72" s="19"/>
      <c r="Q72" s="110"/>
      <c r="R72" s="110"/>
      <c r="S72" s="110"/>
      <c r="T72" s="110"/>
      <c r="U72" s="110"/>
      <c r="V72" s="110"/>
      <c r="W72" s="110"/>
      <c r="X72" s="110">
        <v>309</v>
      </c>
      <c r="Y72" s="151">
        <f>+X72*(1+$W$3)</f>
        <v>355.65899999999999</v>
      </c>
      <c r="Z72" s="151">
        <f t="shared" si="4"/>
        <v>393.71451300000001</v>
      </c>
      <c r="AA72" s="151">
        <f t="shared" si="7"/>
        <v>401.58880326000002</v>
      </c>
      <c r="AB72" s="151">
        <f t="shared" si="8"/>
        <v>402</v>
      </c>
      <c r="AC72" s="168">
        <v>402</v>
      </c>
    </row>
    <row r="73" spans="1:29">
      <c r="A73" s="68">
        <v>5161</v>
      </c>
      <c r="B73" s="9"/>
      <c r="C73" s="80" t="s">
        <v>98</v>
      </c>
      <c r="D73" s="7" t="s">
        <v>16</v>
      </c>
      <c r="E73" s="81" t="s">
        <v>17</v>
      </c>
      <c r="F73" s="38"/>
      <c r="G73" s="78" t="s">
        <v>19</v>
      </c>
      <c r="H73" s="14">
        <v>45468</v>
      </c>
      <c r="I73" s="14">
        <v>45833</v>
      </c>
      <c r="J73" s="15">
        <v>25</v>
      </c>
      <c r="K73" s="16">
        <v>1</v>
      </c>
      <c r="L73" s="29" t="s">
        <v>99</v>
      </c>
      <c r="M73" s="36" t="s">
        <v>100</v>
      </c>
      <c r="N73" s="36" t="s">
        <v>68</v>
      </c>
      <c r="O73" s="154">
        <v>403</v>
      </c>
      <c r="P73" s="19"/>
      <c r="Q73" s="110"/>
      <c r="R73" s="110"/>
      <c r="S73" s="110"/>
      <c r="T73" s="110"/>
      <c r="U73" s="110"/>
      <c r="V73" s="110"/>
      <c r="W73" s="110"/>
      <c r="X73" s="110"/>
      <c r="Y73" s="110">
        <v>357</v>
      </c>
      <c r="Z73" s="151">
        <f t="shared" si="4"/>
        <v>395.19900000000001</v>
      </c>
      <c r="AA73" s="151">
        <f t="shared" si="7"/>
        <v>403.10298</v>
      </c>
      <c r="AB73" s="151">
        <f t="shared" si="8"/>
        <v>403</v>
      </c>
      <c r="AC73" s="168">
        <v>403</v>
      </c>
    </row>
    <row r="74" spans="1:29">
      <c r="A74" s="68">
        <v>5163</v>
      </c>
      <c r="B74" s="9"/>
      <c r="C74" s="80" t="s">
        <v>98</v>
      </c>
      <c r="D74" s="7" t="s">
        <v>16</v>
      </c>
      <c r="E74" s="81" t="s">
        <v>17</v>
      </c>
      <c r="F74" s="38"/>
      <c r="G74" s="16" t="s">
        <v>19</v>
      </c>
      <c r="H74" s="14">
        <v>45468</v>
      </c>
      <c r="I74" s="14">
        <v>45833</v>
      </c>
      <c r="J74" s="15">
        <v>25</v>
      </c>
      <c r="K74" s="16">
        <v>1</v>
      </c>
      <c r="L74" s="29" t="s">
        <v>99</v>
      </c>
      <c r="M74" s="49" t="s">
        <v>100</v>
      </c>
      <c r="N74" s="36" t="s">
        <v>68</v>
      </c>
      <c r="O74" s="154">
        <v>403</v>
      </c>
      <c r="P74" s="19"/>
      <c r="Q74" s="110"/>
      <c r="R74" s="110"/>
      <c r="S74" s="110"/>
      <c r="T74" s="110"/>
      <c r="U74" s="110"/>
      <c r="V74" s="110"/>
      <c r="W74" s="110"/>
      <c r="X74" s="110"/>
      <c r="Y74" s="110">
        <v>357</v>
      </c>
      <c r="Z74" s="151">
        <f t="shared" si="4"/>
        <v>395.19900000000001</v>
      </c>
      <c r="AA74" s="151">
        <f t="shared" si="7"/>
        <v>403.10298</v>
      </c>
      <c r="AB74" s="151">
        <f t="shared" si="8"/>
        <v>403</v>
      </c>
      <c r="AC74" s="168">
        <v>403</v>
      </c>
    </row>
    <row r="75" spans="1:29">
      <c r="A75" s="68">
        <v>5217</v>
      </c>
      <c r="B75" s="82"/>
      <c r="C75" s="9" t="s">
        <v>34</v>
      </c>
      <c r="D75" s="7" t="s">
        <v>16</v>
      </c>
      <c r="E75" s="11" t="s">
        <v>17</v>
      </c>
      <c r="F75" s="23"/>
      <c r="G75" s="27" t="s">
        <v>19</v>
      </c>
      <c r="H75" s="14">
        <v>45034</v>
      </c>
      <c r="I75" s="14">
        <v>45765</v>
      </c>
      <c r="J75" s="15">
        <v>25</v>
      </c>
      <c r="K75" s="16">
        <v>2</v>
      </c>
      <c r="L75" s="29" t="s">
        <v>188</v>
      </c>
      <c r="M75" s="50" t="s">
        <v>189</v>
      </c>
      <c r="N75" s="36" t="s">
        <v>190</v>
      </c>
      <c r="O75" s="154">
        <v>1664</v>
      </c>
      <c r="P75" s="19"/>
      <c r="Q75" s="110"/>
      <c r="R75" s="110"/>
      <c r="S75" s="110"/>
      <c r="T75" s="110"/>
      <c r="U75" s="110"/>
      <c r="V75" s="110"/>
      <c r="W75" s="110"/>
      <c r="X75" s="110">
        <v>1280</v>
      </c>
      <c r="Y75" s="151">
        <f>+X75*(1+$W$3)</f>
        <v>1473.28</v>
      </c>
      <c r="Z75" s="151">
        <f t="shared" si="4"/>
        <v>1630.9209599999999</v>
      </c>
      <c r="AA75" s="151">
        <f t="shared" si="7"/>
        <v>1663.5393792</v>
      </c>
      <c r="AB75" s="151">
        <f t="shared" si="8"/>
        <v>1664</v>
      </c>
      <c r="AC75" s="168">
        <v>1664</v>
      </c>
    </row>
    <row r="76" spans="1:29">
      <c r="A76" s="68">
        <v>5301</v>
      </c>
      <c r="B76" s="9"/>
      <c r="C76" s="46" t="s">
        <v>191</v>
      </c>
      <c r="D76" s="7" t="s">
        <v>16</v>
      </c>
      <c r="E76" s="11" t="s">
        <v>17</v>
      </c>
      <c r="F76" s="20"/>
      <c r="G76" s="83" t="s">
        <v>19</v>
      </c>
      <c r="H76" s="14">
        <v>45257</v>
      </c>
      <c r="I76" s="14">
        <v>45988</v>
      </c>
      <c r="J76" s="15">
        <v>25</v>
      </c>
      <c r="K76" s="16">
        <v>2</v>
      </c>
      <c r="L76" s="29" t="s">
        <v>192</v>
      </c>
      <c r="M76" s="36" t="s">
        <v>193</v>
      </c>
      <c r="N76" s="49" t="s">
        <v>194</v>
      </c>
      <c r="O76" s="154">
        <v>12405</v>
      </c>
      <c r="P76" s="19"/>
      <c r="Q76" s="110"/>
      <c r="R76" s="110"/>
      <c r="S76" s="110"/>
      <c r="T76" s="110"/>
      <c r="U76" s="110"/>
      <c r="V76" s="110"/>
      <c r="W76" s="110"/>
      <c r="X76" s="110">
        <v>9545</v>
      </c>
      <c r="Y76" s="151">
        <f t="shared" ref="Y76:Y85" si="9">+X76*(1+$W$3)</f>
        <v>10986.295</v>
      </c>
      <c r="Z76" s="151">
        <f t="shared" si="4"/>
        <v>12161.828565</v>
      </c>
      <c r="AA76" s="151">
        <f t="shared" si="7"/>
        <v>12405.0651363</v>
      </c>
      <c r="AB76" s="151">
        <f t="shared" si="8"/>
        <v>12405</v>
      </c>
      <c r="AC76" s="168">
        <v>12405</v>
      </c>
    </row>
    <row r="77" spans="1:29">
      <c r="A77" s="68">
        <v>5442</v>
      </c>
      <c r="B77" s="9"/>
      <c r="C77" s="9" t="s">
        <v>98</v>
      </c>
      <c r="D77" s="7" t="s">
        <v>16</v>
      </c>
      <c r="E77" s="11" t="s">
        <v>17</v>
      </c>
      <c r="F77" s="23"/>
      <c r="G77" s="84" t="s">
        <v>19</v>
      </c>
      <c r="H77" s="14">
        <v>45035</v>
      </c>
      <c r="I77" s="14">
        <v>45766</v>
      </c>
      <c r="J77" s="15">
        <v>25</v>
      </c>
      <c r="K77" s="16">
        <v>2</v>
      </c>
      <c r="L77" s="29" t="s">
        <v>99</v>
      </c>
      <c r="M77" s="49" t="s">
        <v>100</v>
      </c>
      <c r="N77" s="36" t="s">
        <v>68</v>
      </c>
      <c r="O77" s="154">
        <v>402</v>
      </c>
      <c r="P77" s="19"/>
      <c r="Q77" s="110"/>
      <c r="R77" s="110"/>
      <c r="S77" s="110"/>
      <c r="T77" s="110"/>
      <c r="U77" s="110"/>
      <c r="V77" s="110"/>
      <c r="W77" s="110"/>
      <c r="X77" s="110">
        <v>309</v>
      </c>
      <c r="Y77" s="151">
        <f t="shared" si="9"/>
        <v>355.65899999999999</v>
      </c>
      <c r="Z77" s="151">
        <f t="shared" si="4"/>
        <v>393.71451300000001</v>
      </c>
      <c r="AA77" s="151">
        <f t="shared" si="7"/>
        <v>401.58880326000002</v>
      </c>
      <c r="AB77" s="151">
        <f t="shared" si="8"/>
        <v>402</v>
      </c>
      <c r="AC77" s="168">
        <v>402</v>
      </c>
    </row>
    <row r="78" spans="1:29">
      <c r="A78" s="68">
        <v>5479</v>
      </c>
      <c r="B78" s="10"/>
      <c r="C78" s="9" t="s">
        <v>98</v>
      </c>
      <c r="D78" s="7" t="s">
        <v>16</v>
      </c>
      <c r="E78" s="11" t="s">
        <v>17</v>
      </c>
      <c r="F78" s="23"/>
      <c r="G78" s="16" t="s">
        <v>19</v>
      </c>
      <c r="H78" s="14">
        <v>45062</v>
      </c>
      <c r="I78" s="14">
        <v>45793</v>
      </c>
      <c r="J78" s="15">
        <v>25</v>
      </c>
      <c r="K78" s="16">
        <v>2</v>
      </c>
      <c r="L78" s="74" t="s">
        <v>195</v>
      </c>
      <c r="M78" s="36" t="s">
        <v>131</v>
      </c>
      <c r="N78" s="57" t="s">
        <v>112</v>
      </c>
      <c r="O78" s="154">
        <v>402</v>
      </c>
      <c r="P78" s="19"/>
      <c r="Q78" s="110"/>
      <c r="R78" s="110"/>
      <c r="S78" s="110"/>
      <c r="T78" s="110"/>
      <c r="U78" s="110"/>
      <c r="V78" s="110"/>
      <c r="W78" s="110"/>
      <c r="X78" s="110">
        <v>309</v>
      </c>
      <c r="Y78" s="151">
        <f t="shared" si="9"/>
        <v>355.65899999999999</v>
      </c>
      <c r="Z78" s="151">
        <f t="shared" si="4"/>
        <v>393.71451300000001</v>
      </c>
      <c r="AA78" s="151">
        <f t="shared" si="7"/>
        <v>401.58880326000002</v>
      </c>
      <c r="AB78" s="151">
        <f t="shared" si="8"/>
        <v>402</v>
      </c>
      <c r="AC78" s="168">
        <v>402</v>
      </c>
    </row>
    <row r="79" spans="1:29">
      <c r="A79" s="68">
        <v>5615</v>
      </c>
      <c r="B79" s="85"/>
      <c r="C79" s="9" t="s">
        <v>196</v>
      </c>
      <c r="D79" s="7" t="s">
        <v>16</v>
      </c>
      <c r="E79" s="11" t="s">
        <v>17</v>
      </c>
      <c r="F79" s="20"/>
      <c r="G79" s="16" t="s">
        <v>19</v>
      </c>
      <c r="H79" s="14">
        <v>45243</v>
      </c>
      <c r="I79" s="14">
        <v>45974</v>
      </c>
      <c r="J79" s="15">
        <v>25</v>
      </c>
      <c r="K79" s="16">
        <v>2</v>
      </c>
      <c r="L79" s="36" t="s">
        <v>197</v>
      </c>
      <c r="M79" s="50" t="s">
        <v>198</v>
      </c>
      <c r="N79" s="36" t="s">
        <v>197</v>
      </c>
      <c r="O79" s="154">
        <v>25286</v>
      </c>
      <c r="P79" s="19"/>
      <c r="Q79" s="110"/>
      <c r="R79" s="110"/>
      <c r="S79" s="110"/>
      <c r="T79" s="110"/>
      <c r="U79" s="110"/>
      <c r="V79" s="110"/>
      <c r="W79" s="110"/>
      <c r="X79" s="110">
        <v>19456</v>
      </c>
      <c r="Y79" s="151">
        <f t="shared" si="9"/>
        <v>22393.856</v>
      </c>
      <c r="Z79" s="151">
        <f t="shared" si="4"/>
        <v>24789.998592</v>
      </c>
      <c r="AA79" s="151">
        <f t="shared" si="7"/>
        <v>25285.798563839999</v>
      </c>
      <c r="AB79" s="151">
        <f t="shared" si="8"/>
        <v>25286</v>
      </c>
      <c r="AC79" s="168">
        <v>25286</v>
      </c>
    </row>
    <row r="80" spans="1:29">
      <c r="A80" s="68">
        <v>5628</v>
      </c>
      <c r="B80" s="9"/>
      <c r="C80" s="9" t="s">
        <v>23</v>
      </c>
      <c r="D80" s="7" t="s">
        <v>16</v>
      </c>
      <c r="E80" s="11" t="s">
        <v>17</v>
      </c>
      <c r="F80" s="20"/>
      <c r="G80" s="16" t="s">
        <v>19</v>
      </c>
      <c r="H80" s="14">
        <v>45118</v>
      </c>
      <c r="I80" s="14">
        <v>45849</v>
      </c>
      <c r="J80" s="15">
        <v>25</v>
      </c>
      <c r="K80" s="16">
        <v>2</v>
      </c>
      <c r="L80" s="36" t="s">
        <v>199</v>
      </c>
      <c r="M80" s="18" t="s">
        <v>25</v>
      </c>
      <c r="N80" s="36" t="s">
        <v>200</v>
      </c>
      <c r="O80" s="154">
        <v>1755</v>
      </c>
      <c r="P80" s="19"/>
      <c r="Q80" s="110"/>
      <c r="R80" s="110"/>
      <c r="S80" s="110"/>
      <c r="T80" s="110"/>
      <c r="U80" s="110"/>
      <c r="V80" s="110"/>
      <c r="W80" s="110"/>
      <c r="X80" s="110">
        <v>1350</v>
      </c>
      <c r="Y80" s="151">
        <f t="shared" si="9"/>
        <v>1553.8500000000001</v>
      </c>
      <c r="Z80" s="151">
        <f t="shared" si="4"/>
        <v>1720.1119500000002</v>
      </c>
      <c r="AA80" s="151">
        <f t="shared" si="7"/>
        <v>1754.5141890000002</v>
      </c>
      <c r="AB80" s="151">
        <f t="shared" si="8"/>
        <v>1755</v>
      </c>
      <c r="AC80" s="168">
        <v>1755</v>
      </c>
    </row>
    <row r="81" spans="1:29">
      <c r="A81" s="68">
        <v>5688</v>
      </c>
      <c r="B81" s="10" t="s">
        <v>45</v>
      </c>
      <c r="C81" s="46" t="s">
        <v>34</v>
      </c>
      <c r="D81" s="7" t="s">
        <v>16</v>
      </c>
      <c r="E81" s="11" t="s">
        <v>17</v>
      </c>
      <c r="F81" s="23"/>
      <c r="G81" s="27" t="s">
        <v>19</v>
      </c>
      <c r="H81" s="14">
        <v>45034</v>
      </c>
      <c r="I81" s="14">
        <v>45765</v>
      </c>
      <c r="J81" s="15">
        <v>25</v>
      </c>
      <c r="K81" s="86">
        <v>2</v>
      </c>
      <c r="L81" s="29" t="s">
        <v>201</v>
      </c>
      <c r="M81" s="36" t="s">
        <v>202</v>
      </c>
      <c r="N81" s="49" t="s">
        <v>201</v>
      </c>
      <c r="O81" s="159">
        <v>1094</v>
      </c>
      <c r="P81" s="19"/>
      <c r="Q81" s="110"/>
      <c r="R81" s="110"/>
      <c r="S81" s="110"/>
      <c r="T81" s="110"/>
      <c r="U81" s="110"/>
      <c r="V81" s="110"/>
      <c r="W81" s="110"/>
      <c r="X81" s="110">
        <v>842</v>
      </c>
      <c r="Y81" s="151">
        <f t="shared" si="9"/>
        <v>969.14200000000005</v>
      </c>
      <c r="Z81" s="151">
        <f t="shared" si="4"/>
        <v>1072.8401940000001</v>
      </c>
      <c r="AA81" s="151">
        <f t="shared" si="7"/>
        <v>1094.2969978800002</v>
      </c>
      <c r="AB81" s="151">
        <f t="shared" si="8"/>
        <v>1094</v>
      </c>
      <c r="AC81" s="168">
        <v>1094</v>
      </c>
    </row>
    <row r="82" spans="1:29">
      <c r="A82" s="68">
        <v>5689</v>
      </c>
      <c r="B82" s="10" t="s">
        <v>45</v>
      </c>
      <c r="C82" s="46" t="s">
        <v>34</v>
      </c>
      <c r="D82" s="7" t="s">
        <v>16</v>
      </c>
      <c r="E82" s="11" t="s">
        <v>17</v>
      </c>
      <c r="F82" s="23"/>
      <c r="G82" s="27" t="s">
        <v>19</v>
      </c>
      <c r="H82" s="14">
        <v>45033</v>
      </c>
      <c r="I82" s="14">
        <v>45764</v>
      </c>
      <c r="J82" s="15">
        <v>25</v>
      </c>
      <c r="K82" s="86">
        <v>2</v>
      </c>
      <c r="L82" s="29" t="s">
        <v>201</v>
      </c>
      <c r="M82" s="36" t="s">
        <v>202</v>
      </c>
      <c r="N82" s="49" t="s">
        <v>201</v>
      </c>
      <c r="O82" s="159">
        <v>1094</v>
      </c>
      <c r="P82" s="19"/>
      <c r="Q82" s="110"/>
      <c r="R82" s="110"/>
      <c r="S82" s="110"/>
      <c r="T82" s="110"/>
      <c r="U82" s="110"/>
      <c r="V82" s="110"/>
      <c r="W82" s="110"/>
      <c r="X82" s="110">
        <v>842</v>
      </c>
      <c r="Y82" s="151">
        <f t="shared" si="9"/>
        <v>969.14200000000005</v>
      </c>
      <c r="Z82" s="151">
        <f t="shared" ref="Z82:Z145" si="10">+Y82*(1+$X$3)</f>
        <v>1072.8401940000001</v>
      </c>
      <c r="AA82" s="151">
        <f t="shared" si="7"/>
        <v>1094.2969978800002</v>
      </c>
      <c r="AB82" s="151">
        <f t="shared" si="8"/>
        <v>1094</v>
      </c>
      <c r="AC82" s="168">
        <v>1094</v>
      </c>
    </row>
    <row r="83" spans="1:29">
      <c r="A83" s="68">
        <v>5690</v>
      </c>
      <c r="B83" s="10" t="s">
        <v>45</v>
      </c>
      <c r="C83" s="46" t="s">
        <v>34</v>
      </c>
      <c r="D83" s="7" t="s">
        <v>16</v>
      </c>
      <c r="E83" s="11" t="s">
        <v>17</v>
      </c>
      <c r="F83" s="23"/>
      <c r="G83" s="27" t="s">
        <v>19</v>
      </c>
      <c r="H83" s="14">
        <v>45033</v>
      </c>
      <c r="I83" s="14">
        <v>45764</v>
      </c>
      <c r="J83" s="15">
        <v>25</v>
      </c>
      <c r="K83" s="86">
        <v>2</v>
      </c>
      <c r="L83" s="29" t="s">
        <v>201</v>
      </c>
      <c r="M83" s="36" t="s">
        <v>36</v>
      </c>
      <c r="N83" s="49" t="s">
        <v>201</v>
      </c>
      <c r="O83" s="159">
        <v>1094</v>
      </c>
      <c r="P83" s="19"/>
      <c r="Q83" s="110"/>
      <c r="R83" s="110"/>
      <c r="S83" s="110"/>
      <c r="T83" s="110"/>
      <c r="U83" s="110"/>
      <c r="V83" s="110"/>
      <c r="W83" s="110"/>
      <c r="X83" s="110">
        <v>842</v>
      </c>
      <c r="Y83" s="151">
        <f t="shared" si="9"/>
        <v>969.14200000000005</v>
      </c>
      <c r="Z83" s="151">
        <f t="shared" si="10"/>
        <v>1072.8401940000001</v>
      </c>
      <c r="AA83" s="151">
        <f t="shared" si="7"/>
        <v>1094.2969978800002</v>
      </c>
      <c r="AB83" s="151">
        <f t="shared" si="8"/>
        <v>1094</v>
      </c>
      <c r="AC83" s="168">
        <v>1094</v>
      </c>
    </row>
    <row r="84" spans="1:29">
      <c r="A84" s="68">
        <v>5691</v>
      </c>
      <c r="B84" s="10" t="s">
        <v>45</v>
      </c>
      <c r="C84" s="46" t="s">
        <v>34</v>
      </c>
      <c r="D84" s="7" t="s">
        <v>16</v>
      </c>
      <c r="E84" s="11" t="s">
        <v>17</v>
      </c>
      <c r="F84" s="23" t="s">
        <v>203</v>
      </c>
      <c r="G84" s="27" t="s">
        <v>19</v>
      </c>
      <c r="H84" s="14">
        <v>45033</v>
      </c>
      <c r="I84" s="14">
        <v>45764</v>
      </c>
      <c r="J84" s="15">
        <v>25</v>
      </c>
      <c r="K84" s="86">
        <v>2</v>
      </c>
      <c r="L84" s="29" t="s">
        <v>201</v>
      </c>
      <c r="M84" s="36" t="s">
        <v>36</v>
      </c>
      <c r="N84" s="49" t="s">
        <v>201</v>
      </c>
      <c r="O84" s="159">
        <v>1094</v>
      </c>
      <c r="P84" s="19"/>
      <c r="Q84" s="110"/>
      <c r="R84" s="110"/>
      <c r="S84" s="110"/>
      <c r="T84" s="110"/>
      <c r="U84" s="110"/>
      <c r="V84" s="110"/>
      <c r="W84" s="110"/>
      <c r="X84" s="110">
        <v>842</v>
      </c>
      <c r="Y84" s="151">
        <f t="shared" si="9"/>
        <v>969.14200000000005</v>
      </c>
      <c r="Z84" s="151">
        <f t="shared" si="10"/>
        <v>1072.8401940000001</v>
      </c>
      <c r="AA84" s="151">
        <f t="shared" si="7"/>
        <v>1094.2969978800002</v>
      </c>
      <c r="AB84" s="151">
        <f t="shared" si="8"/>
        <v>1094</v>
      </c>
      <c r="AC84" s="168">
        <v>1094</v>
      </c>
    </row>
    <row r="85" spans="1:29">
      <c r="A85" s="68">
        <v>5717</v>
      </c>
      <c r="B85" s="9"/>
      <c r="C85" s="46" t="s">
        <v>34</v>
      </c>
      <c r="D85" s="7" t="s">
        <v>16</v>
      </c>
      <c r="E85" s="11" t="s">
        <v>17</v>
      </c>
      <c r="F85" s="23"/>
      <c r="G85" s="27" t="s">
        <v>19</v>
      </c>
      <c r="H85" s="14">
        <v>45034</v>
      </c>
      <c r="I85" s="14">
        <v>45765</v>
      </c>
      <c r="J85" s="15">
        <v>25</v>
      </c>
      <c r="K85" s="87">
        <v>2</v>
      </c>
      <c r="L85" s="88" t="s">
        <v>204</v>
      </c>
      <c r="M85" s="89" t="s">
        <v>205</v>
      </c>
      <c r="N85" s="49" t="s">
        <v>206</v>
      </c>
      <c r="O85" s="154">
        <v>1094</v>
      </c>
      <c r="P85" s="19"/>
      <c r="Q85" s="110"/>
      <c r="R85" s="110"/>
      <c r="S85" s="110"/>
      <c r="T85" s="110"/>
      <c r="U85" s="110"/>
      <c r="V85" s="110"/>
      <c r="W85" s="110"/>
      <c r="X85" s="110">
        <v>842</v>
      </c>
      <c r="Y85" s="151">
        <f t="shared" si="9"/>
        <v>969.14200000000005</v>
      </c>
      <c r="Z85" s="151">
        <f t="shared" si="10"/>
        <v>1072.8401940000001</v>
      </c>
      <c r="AA85" s="151">
        <f t="shared" si="7"/>
        <v>1094.2969978800002</v>
      </c>
      <c r="AB85" s="151">
        <f t="shared" si="8"/>
        <v>1094</v>
      </c>
      <c r="AC85" s="168">
        <v>1094</v>
      </c>
    </row>
    <row r="86" spans="1:29">
      <c r="A86" s="68">
        <v>5746</v>
      </c>
      <c r="B86" s="9"/>
      <c r="C86" s="9" t="s">
        <v>85</v>
      </c>
      <c r="D86" s="7" t="s">
        <v>16</v>
      </c>
      <c r="E86" s="11" t="s">
        <v>17</v>
      </c>
      <c r="F86" s="38"/>
      <c r="G86" s="13" t="s">
        <v>19</v>
      </c>
      <c r="H86" s="14">
        <v>45450</v>
      </c>
      <c r="I86" s="14">
        <v>45815</v>
      </c>
      <c r="J86" s="15">
        <v>25</v>
      </c>
      <c r="K86" s="16">
        <v>1</v>
      </c>
      <c r="L86" s="74" t="s">
        <v>207</v>
      </c>
      <c r="M86" s="49" t="s">
        <v>176</v>
      </c>
      <c r="N86" s="36" t="s">
        <v>208</v>
      </c>
      <c r="O86" s="154">
        <v>9437</v>
      </c>
      <c r="P86" s="19"/>
      <c r="Q86" s="110"/>
      <c r="R86" s="110"/>
      <c r="S86" s="110"/>
      <c r="T86" s="110"/>
      <c r="U86" s="110"/>
      <c r="V86" s="110"/>
      <c r="W86" s="110"/>
      <c r="X86" s="110"/>
      <c r="Y86" s="110">
        <v>8358</v>
      </c>
      <c r="Z86" s="151">
        <f t="shared" si="10"/>
        <v>9252.3060000000005</v>
      </c>
      <c r="AA86" s="151">
        <f t="shared" si="7"/>
        <v>9437.3521200000014</v>
      </c>
      <c r="AB86" s="151">
        <f t="shared" si="8"/>
        <v>9437</v>
      </c>
      <c r="AC86" s="168">
        <v>9437</v>
      </c>
    </row>
    <row r="87" spans="1:29">
      <c r="A87" s="8">
        <v>5747</v>
      </c>
      <c r="B87" s="90"/>
      <c r="C87" s="10" t="s">
        <v>122</v>
      </c>
      <c r="D87" s="7" t="s">
        <v>16</v>
      </c>
      <c r="E87" s="11" t="s">
        <v>17</v>
      </c>
      <c r="F87" s="20"/>
      <c r="G87" s="13" t="s">
        <v>19</v>
      </c>
      <c r="H87" s="14">
        <v>45482</v>
      </c>
      <c r="I87" s="14">
        <v>45847</v>
      </c>
      <c r="J87" s="15">
        <v>25</v>
      </c>
      <c r="K87" s="16">
        <v>1</v>
      </c>
      <c r="L87" s="61">
        <v>0.1</v>
      </c>
      <c r="M87" s="36" t="s">
        <v>123</v>
      </c>
      <c r="N87" s="32">
        <v>0.08</v>
      </c>
      <c r="O87" s="154">
        <v>1653</v>
      </c>
      <c r="P87" s="19"/>
      <c r="Q87" s="110"/>
      <c r="R87" s="110"/>
      <c r="S87" s="110"/>
      <c r="T87" s="110"/>
      <c r="U87" s="110"/>
      <c r="V87" s="110"/>
      <c r="W87" s="110"/>
      <c r="X87" s="110"/>
      <c r="Y87" s="110">
        <v>1464</v>
      </c>
      <c r="Z87" s="151">
        <f t="shared" si="10"/>
        <v>1620.6479999999999</v>
      </c>
      <c r="AA87" s="151">
        <f t="shared" si="7"/>
        <v>1653.06096</v>
      </c>
      <c r="AB87" s="151">
        <f t="shared" si="8"/>
        <v>1653</v>
      </c>
      <c r="AC87" s="168">
        <v>1653</v>
      </c>
    </row>
    <row r="88" spans="1:29">
      <c r="A88" s="8">
        <v>5749</v>
      </c>
      <c r="B88" s="9"/>
      <c r="C88" s="46" t="s">
        <v>23</v>
      </c>
      <c r="D88" s="7" t="s">
        <v>16</v>
      </c>
      <c r="E88" s="11" t="s">
        <v>17</v>
      </c>
      <c r="F88" s="20"/>
      <c r="G88" s="16" t="s">
        <v>19</v>
      </c>
      <c r="H88" s="14">
        <v>45118</v>
      </c>
      <c r="I88" s="14">
        <v>45849</v>
      </c>
      <c r="J88" s="15">
        <v>25</v>
      </c>
      <c r="K88" s="16">
        <v>2</v>
      </c>
      <c r="L88" s="36" t="s">
        <v>199</v>
      </c>
      <c r="M88" s="18" t="s">
        <v>25</v>
      </c>
      <c r="N88" s="36" t="s">
        <v>200</v>
      </c>
      <c r="O88" s="154">
        <v>1755</v>
      </c>
      <c r="P88" s="19"/>
      <c r="Q88" s="110"/>
      <c r="R88" s="110"/>
      <c r="S88" s="110"/>
      <c r="T88" s="110"/>
      <c r="U88" s="110"/>
      <c r="V88" s="110"/>
      <c r="W88" s="110"/>
      <c r="X88" s="110">
        <v>1350</v>
      </c>
      <c r="Y88" s="151">
        <f>+X88*(1+$W$3)</f>
        <v>1553.8500000000001</v>
      </c>
      <c r="Z88" s="151">
        <f t="shared" si="10"/>
        <v>1720.1119500000002</v>
      </c>
      <c r="AA88" s="151">
        <f t="shared" si="7"/>
        <v>1754.5141890000002</v>
      </c>
      <c r="AB88" s="151">
        <f t="shared" si="8"/>
        <v>1755</v>
      </c>
      <c r="AC88" s="168">
        <v>1755</v>
      </c>
    </row>
    <row r="89" spans="1:29">
      <c r="A89" s="68">
        <v>5754</v>
      </c>
      <c r="B89" s="9"/>
      <c r="C89" s="9" t="s">
        <v>98</v>
      </c>
      <c r="D89" s="7" t="s">
        <v>16</v>
      </c>
      <c r="E89" s="11" t="s">
        <v>17</v>
      </c>
      <c r="F89" s="20"/>
      <c r="G89" s="16" t="s">
        <v>19</v>
      </c>
      <c r="H89" s="14">
        <v>45433</v>
      </c>
      <c r="I89" s="14">
        <v>45798</v>
      </c>
      <c r="J89" s="15">
        <v>25</v>
      </c>
      <c r="K89" s="16">
        <v>1</v>
      </c>
      <c r="L89" s="29" t="s">
        <v>99</v>
      </c>
      <c r="M89" s="49" t="s">
        <v>100</v>
      </c>
      <c r="N89" s="36" t="s">
        <v>68</v>
      </c>
      <c r="O89" s="159">
        <v>403</v>
      </c>
      <c r="P89" s="19"/>
      <c r="Q89" s="110"/>
      <c r="R89" s="110"/>
      <c r="S89" s="110"/>
      <c r="T89" s="110"/>
      <c r="U89" s="110"/>
      <c r="V89" s="110"/>
      <c r="W89" s="110"/>
      <c r="X89" s="110"/>
      <c r="Y89" s="110">
        <v>357</v>
      </c>
      <c r="Z89" s="151">
        <f t="shared" si="10"/>
        <v>395.19900000000001</v>
      </c>
      <c r="AA89" s="151">
        <f t="shared" si="7"/>
        <v>403.10298</v>
      </c>
      <c r="AB89" s="151">
        <f t="shared" si="8"/>
        <v>403</v>
      </c>
      <c r="AC89" s="168">
        <v>403</v>
      </c>
    </row>
    <row r="90" spans="1:29">
      <c r="A90" s="8">
        <v>5819</v>
      </c>
      <c r="B90" s="9"/>
      <c r="C90" s="10" t="s">
        <v>209</v>
      </c>
      <c r="D90" s="7" t="s">
        <v>16</v>
      </c>
      <c r="E90" s="11" t="s">
        <v>17</v>
      </c>
      <c r="F90" s="20"/>
      <c r="G90" s="13" t="s">
        <v>19</v>
      </c>
      <c r="H90" s="14">
        <v>45245</v>
      </c>
      <c r="I90" s="14">
        <v>45976</v>
      </c>
      <c r="J90" s="15">
        <v>25</v>
      </c>
      <c r="K90" s="16">
        <v>2</v>
      </c>
      <c r="L90" s="91" t="s">
        <v>210</v>
      </c>
      <c r="M90" s="50" t="s">
        <v>211</v>
      </c>
      <c r="N90" s="91" t="s">
        <v>212</v>
      </c>
      <c r="O90" s="154">
        <v>3412</v>
      </c>
      <c r="P90" s="19"/>
      <c r="Q90" s="110"/>
      <c r="R90" s="110"/>
      <c r="S90" s="110"/>
      <c r="T90" s="110"/>
      <c r="U90" s="110"/>
      <c r="V90" s="110"/>
      <c r="W90" s="110"/>
      <c r="X90" s="110">
        <v>2625</v>
      </c>
      <c r="Y90" s="151">
        <f>+X90*(1+$W$3)</f>
        <v>3021.375</v>
      </c>
      <c r="Z90" s="151">
        <f t="shared" si="10"/>
        <v>3344.6621249999998</v>
      </c>
      <c r="AA90" s="151">
        <f t="shared" si="7"/>
        <v>3411.5553675000001</v>
      </c>
      <c r="AB90" s="151">
        <f t="shared" si="8"/>
        <v>3412</v>
      </c>
      <c r="AC90" s="168">
        <v>3412</v>
      </c>
    </row>
    <row r="91" spans="1:29">
      <c r="A91" s="8">
        <v>5989</v>
      </c>
      <c r="B91" s="9"/>
      <c r="C91" s="10" t="s">
        <v>94</v>
      </c>
      <c r="D91" s="7" t="s">
        <v>16</v>
      </c>
      <c r="E91" s="11" t="s">
        <v>17</v>
      </c>
      <c r="F91" s="38"/>
      <c r="G91" s="16" t="s">
        <v>19</v>
      </c>
      <c r="H91" s="14">
        <v>45097</v>
      </c>
      <c r="I91" s="25">
        <v>45828</v>
      </c>
      <c r="J91" s="15">
        <v>25</v>
      </c>
      <c r="K91" s="16">
        <v>2</v>
      </c>
      <c r="L91" s="36" t="s">
        <v>213</v>
      </c>
      <c r="M91" s="41" t="s">
        <v>214</v>
      </c>
      <c r="N91" s="36" t="s">
        <v>213</v>
      </c>
      <c r="O91" s="154">
        <v>580</v>
      </c>
      <c r="P91" s="19"/>
      <c r="Q91" s="110"/>
      <c r="R91" s="110"/>
      <c r="S91" s="110"/>
      <c r="T91" s="110"/>
      <c r="U91" s="110"/>
      <c r="V91" s="110"/>
      <c r="W91" s="110"/>
      <c r="X91" s="110">
        <v>446</v>
      </c>
      <c r="Y91" s="151">
        <f t="shared" ref="Y91:Y132" si="11">+X91*(1+$W$3)</f>
        <v>513.346</v>
      </c>
      <c r="Z91" s="151">
        <f t="shared" si="10"/>
        <v>568.27402199999995</v>
      </c>
      <c r="AA91" s="151">
        <f t="shared" si="7"/>
        <v>579.63950244</v>
      </c>
      <c r="AB91" s="151">
        <f t="shared" si="8"/>
        <v>580</v>
      </c>
      <c r="AC91" s="168">
        <v>580</v>
      </c>
    </row>
    <row r="92" spans="1:29">
      <c r="A92" s="8">
        <v>5990</v>
      </c>
      <c r="B92" s="9"/>
      <c r="C92" s="10" t="s">
        <v>94</v>
      </c>
      <c r="D92" s="7" t="s">
        <v>16</v>
      </c>
      <c r="E92" s="11" t="s">
        <v>17</v>
      </c>
      <c r="F92" s="38"/>
      <c r="G92" s="16" t="s">
        <v>19</v>
      </c>
      <c r="H92" s="14">
        <v>45097</v>
      </c>
      <c r="I92" s="25">
        <v>45828</v>
      </c>
      <c r="J92" s="15">
        <v>25</v>
      </c>
      <c r="K92" s="16">
        <v>2</v>
      </c>
      <c r="L92" s="36" t="s">
        <v>213</v>
      </c>
      <c r="M92" s="41" t="s">
        <v>215</v>
      </c>
      <c r="N92" s="36" t="s">
        <v>213</v>
      </c>
      <c r="O92" s="154">
        <v>580</v>
      </c>
      <c r="P92" s="19"/>
      <c r="Q92" s="110"/>
      <c r="R92" s="110"/>
      <c r="S92" s="110"/>
      <c r="T92" s="110"/>
      <c r="U92" s="110"/>
      <c r="V92" s="110"/>
      <c r="W92" s="110"/>
      <c r="X92" s="110">
        <v>446</v>
      </c>
      <c r="Y92" s="151">
        <f t="shared" si="11"/>
        <v>513.346</v>
      </c>
      <c r="Z92" s="151">
        <f t="shared" si="10"/>
        <v>568.27402199999995</v>
      </c>
      <c r="AA92" s="151">
        <f t="shared" si="7"/>
        <v>579.63950244</v>
      </c>
      <c r="AB92" s="151">
        <f t="shared" si="8"/>
        <v>580</v>
      </c>
      <c r="AC92" s="168">
        <v>580</v>
      </c>
    </row>
    <row r="93" spans="1:29">
      <c r="A93" s="8">
        <v>6044</v>
      </c>
      <c r="B93" s="9"/>
      <c r="C93" s="46" t="s">
        <v>216</v>
      </c>
      <c r="D93" s="7" t="s">
        <v>16</v>
      </c>
      <c r="E93" s="11" t="s">
        <v>17</v>
      </c>
      <c r="F93" s="23"/>
      <c r="G93" s="16" t="s">
        <v>19</v>
      </c>
      <c r="H93" s="14">
        <v>45062</v>
      </c>
      <c r="I93" s="14">
        <v>45793</v>
      </c>
      <c r="J93" s="15">
        <v>25</v>
      </c>
      <c r="K93" s="16">
        <v>2</v>
      </c>
      <c r="L93" s="79" t="s">
        <v>217</v>
      </c>
      <c r="M93" s="36" t="s">
        <v>218</v>
      </c>
      <c r="N93" s="45" t="s">
        <v>219</v>
      </c>
      <c r="O93" s="154">
        <v>1037</v>
      </c>
      <c r="P93" s="19"/>
      <c r="Q93" s="110"/>
      <c r="R93" s="110"/>
      <c r="S93" s="110"/>
      <c r="T93" s="110"/>
      <c r="U93" s="110"/>
      <c r="V93" s="110"/>
      <c r="W93" s="110"/>
      <c r="X93" s="110">
        <v>798</v>
      </c>
      <c r="Y93" s="151">
        <f t="shared" si="11"/>
        <v>918.49800000000005</v>
      </c>
      <c r="Z93" s="151">
        <f t="shared" si="10"/>
        <v>1016.777286</v>
      </c>
      <c r="AA93" s="151">
        <f t="shared" si="7"/>
        <v>1037.11283172</v>
      </c>
      <c r="AB93" s="151">
        <f t="shared" si="8"/>
        <v>1037</v>
      </c>
      <c r="AC93" s="168">
        <v>1037</v>
      </c>
    </row>
    <row r="94" spans="1:29">
      <c r="A94" s="8">
        <v>6045</v>
      </c>
      <c r="B94" s="9"/>
      <c r="C94" s="46" t="s">
        <v>216</v>
      </c>
      <c r="D94" s="7" t="s">
        <v>16</v>
      </c>
      <c r="E94" s="11" t="s">
        <v>17</v>
      </c>
      <c r="F94" s="23"/>
      <c r="G94" s="16" t="s">
        <v>19</v>
      </c>
      <c r="H94" s="14">
        <v>45062</v>
      </c>
      <c r="I94" s="14">
        <v>45793</v>
      </c>
      <c r="J94" s="15">
        <v>25</v>
      </c>
      <c r="K94" s="16">
        <v>2</v>
      </c>
      <c r="L94" s="79" t="s">
        <v>217</v>
      </c>
      <c r="M94" s="36" t="s">
        <v>218</v>
      </c>
      <c r="N94" s="45" t="s">
        <v>219</v>
      </c>
      <c r="O94" s="154">
        <v>1037</v>
      </c>
      <c r="P94" s="19"/>
      <c r="Q94" s="110"/>
      <c r="R94" s="110"/>
      <c r="S94" s="110"/>
      <c r="T94" s="110"/>
      <c r="U94" s="110"/>
      <c r="V94" s="110"/>
      <c r="W94" s="110"/>
      <c r="X94" s="110">
        <v>798</v>
      </c>
      <c r="Y94" s="151">
        <f t="shared" si="11"/>
        <v>918.49800000000005</v>
      </c>
      <c r="Z94" s="151">
        <f t="shared" si="10"/>
        <v>1016.777286</v>
      </c>
      <c r="AA94" s="151">
        <f t="shared" si="7"/>
        <v>1037.11283172</v>
      </c>
      <c r="AB94" s="151">
        <f t="shared" si="8"/>
        <v>1037</v>
      </c>
      <c r="AC94" s="168">
        <v>1037</v>
      </c>
    </row>
    <row r="95" spans="1:29">
      <c r="A95" s="8">
        <v>6046</v>
      </c>
      <c r="B95" s="9"/>
      <c r="C95" s="46" t="s">
        <v>216</v>
      </c>
      <c r="D95" s="7" t="s">
        <v>16</v>
      </c>
      <c r="E95" s="11" t="s">
        <v>17</v>
      </c>
      <c r="F95" s="23"/>
      <c r="G95" s="16" t="s">
        <v>19</v>
      </c>
      <c r="H95" s="14">
        <v>45062</v>
      </c>
      <c r="I95" s="14">
        <v>45793</v>
      </c>
      <c r="J95" s="15">
        <v>25</v>
      </c>
      <c r="K95" s="16">
        <v>2</v>
      </c>
      <c r="L95" s="79" t="s">
        <v>217</v>
      </c>
      <c r="M95" s="36" t="s">
        <v>218</v>
      </c>
      <c r="N95" s="45" t="s">
        <v>219</v>
      </c>
      <c r="O95" s="154">
        <v>1037</v>
      </c>
      <c r="P95" s="19"/>
      <c r="Q95" s="110"/>
      <c r="R95" s="110"/>
      <c r="S95" s="110"/>
      <c r="T95" s="110"/>
      <c r="U95" s="110"/>
      <c r="V95" s="110"/>
      <c r="W95" s="110"/>
      <c r="X95" s="110">
        <v>798</v>
      </c>
      <c r="Y95" s="151">
        <f t="shared" si="11"/>
        <v>918.49800000000005</v>
      </c>
      <c r="Z95" s="151">
        <f t="shared" si="10"/>
        <v>1016.777286</v>
      </c>
      <c r="AA95" s="151">
        <f t="shared" si="7"/>
        <v>1037.11283172</v>
      </c>
      <c r="AB95" s="151">
        <f t="shared" si="8"/>
        <v>1037</v>
      </c>
      <c r="AC95" s="168">
        <v>1037</v>
      </c>
    </row>
    <row r="96" spans="1:29">
      <c r="A96" s="8">
        <v>6047</v>
      </c>
      <c r="B96" s="9"/>
      <c r="C96" s="46" t="s">
        <v>216</v>
      </c>
      <c r="D96" s="7" t="s">
        <v>16</v>
      </c>
      <c r="E96" s="11" t="s">
        <v>17</v>
      </c>
      <c r="F96" s="23"/>
      <c r="G96" s="16" t="s">
        <v>19</v>
      </c>
      <c r="H96" s="14">
        <v>45062</v>
      </c>
      <c r="I96" s="14">
        <v>45793</v>
      </c>
      <c r="J96" s="15">
        <v>25</v>
      </c>
      <c r="K96" s="16">
        <v>2</v>
      </c>
      <c r="L96" s="79" t="s">
        <v>217</v>
      </c>
      <c r="M96" s="36" t="s">
        <v>218</v>
      </c>
      <c r="N96" s="45" t="s">
        <v>219</v>
      </c>
      <c r="O96" s="154">
        <v>1037</v>
      </c>
      <c r="P96" s="19"/>
      <c r="Q96" s="110"/>
      <c r="R96" s="110"/>
      <c r="S96" s="110"/>
      <c r="T96" s="110"/>
      <c r="U96" s="110"/>
      <c r="V96" s="110"/>
      <c r="W96" s="110"/>
      <c r="X96" s="110">
        <v>798</v>
      </c>
      <c r="Y96" s="151">
        <f t="shared" si="11"/>
        <v>918.49800000000005</v>
      </c>
      <c r="Z96" s="151">
        <f t="shared" si="10"/>
        <v>1016.777286</v>
      </c>
      <c r="AA96" s="151">
        <f t="shared" si="7"/>
        <v>1037.11283172</v>
      </c>
      <c r="AB96" s="151">
        <f t="shared" si="8"/>
        <v>1037</v>
      </c>
      <c r="AC96" s="168">
        <v>1037</v>
      </c>
    </row>
    <row r="97" spans="1:29">
      <c r="A97" s="8">
        <v>6048</v>
      </c>
      <c r="B97" s="9"/>
      <c r="C97" s="46" t="s">
        <v>216</v>
      </c>
      <c r="D97" s="7" t="s">
        <v>16</v>
      </c>
      <c r="E97" s="11" t="s">
        <v>17</v>
      </c>
      <c r="F97" s="23"/>
      <c r="G97" s="16" t="s">
        <v>19</v>
      </c>
      <c r="H97" s="14">
        <v>45062</v>
      </c>
      <c r="I97" s="25">
        <v>45793</v>
      </c>
      <c r="J97" s="15">
        <v>25</v>
      </c>
      <c r="K97" s="16">
        <v>2</v>
      </c>
      <c r="L97" s="79" t="s">
        <v>217</v>
      </c>
      <c r="M97" s="36" t="s">
        <v>218</v>
      </c>
      <c r="N97" s="45" t="s">
        <v>219</v>
      </c>
      <c r="O97" s="154">
        <v>1037</v>
      </c>
      <c r="P97" s="19"/>
      <c r="Q97" s="110"/>
      <c r="R97" s="110"/>
      <c r="S97" s="110"/>
      <c r="T97" s="110"/>
      <c r="U97" s="110"/>
      <c r="V97" s="110"/>
      <c r="W97" s="110"/>
      <c r="X97" s="110">
        <v>798</v>
      </c>
      <c r="Y97" s="151">
        <f t="shared" si="11"/>
        <v>918.49800000000005</v>
      </c>
      <c r="Z97" s="151">
        <f t="shared" si="10"/>
        <v>1016.777286</v>
      </c>
      <c r="AA97" s="151">
        <f t="shared" si="7"/>
        <v>1037.11283172</v>
      </c>
      <c r="AB97" s="151">
        <f t="shared" si="8"/>
        <v>1037</v>
      </c>
      <c r="AC97" s="168">
        <v>1037</v>
      </c>
    </row>
    <row r="98" spans="1:29">
      <c r="A98" s="8">
        <v>6049</v>
      </c>
      <c r="B98" s="9"/>
      <c r="C98" s="46" t="s">
        <v>216</v>
      </c>
      <c r="D98" s="7" t="s">
        <v>16</v>
      </c>
      <c r="E98" s="11" t="s">
        <v>17</v>
      </c>
      <c r="F98" s="23"/>
      <c r="G98" s="16" t="s">
        <v>19</v>
      </c>
      <c r="H98" s="14">
        <v>45062</v>
      </c>
      <c r="I98" s="14">
        <v>45793</v>
      </c>
      <c r="J98" s="15">
        <v>25</v>
      </c>
      <c r="K98" s="16">
        <v>2</v>
      </c>
      <c r="L98" s="79" t="s">
        <v>217</v>
      </c>
      <c r="M98" s="36" t="s">
        <v>218</v>
      </c>
      <c r="N98" s="45" t="s">
        <v>219</v>
      </c>
      <c r="O98" s="154">
        <v>1037</v>
      </c>
      <c r="P98" s="19"/>
      <c r="Q98" s="110"/>
      <c r="R98" s="110"/>
      <c r="S98" s="110"/>
      <c r="T98" s="110"/>
      <c r="U98" s="110"/>
      <c r="V98" s="110"/>
      <c r="W98" s="110"/>
      <c r="X98" s="110">
        <v>798</v>
      </c>
      <c r="Y98" s="151">
        <f t="shared" si="11"/>
        <v>918.49800000000005</v>
      </c>
      <c r="Z98" s="151">
        <f t="shared" si="10"/>
        <v>1016.777286</v>
      </c>
      <c r="AA98" s="151">
        <f t="shared" si="7"/>
        <v>1037.11283172</v>
      </c>
      <c r="AB98" s="151">
        <f t="shared" si="8"/>
        <v>1037</v>
      </c>
      <c r="AC98" s="168">
        <v>1037</v>
      </c>
    </row>
    <row r="99" spans="1:29">
      <c r="A99" s="8">
        <v>6074</v>
      </c>
      <c r="B99" s="9"/>
      <c r="C99" s="10" t="s">
        <v>220</v>
      </c>
      <c r="D99" s="7" t="s">
        <v>16</v>
      </c>
      <c r="E99" s="11" t="s">
        <v>17</v>
      </c>
      <c r="F99" s="20"/>
      <c r="G99" s="13" t="s">
        <v>19</v>
      </c>
      <c r="H99" s="14">
        <v>45190</v>
      </c>
      <c r="I99" s="25">
        <v>45921</v>
      </c>
      <c r="J99" s="15">
        <v>25</v>
      </c>
      <c r="K99" s="16">
        <v>2</v>
      </c>
      <c r="L99" s="36" t="s">
        <v>221</v>
      </c>
      <c r="M99" s="18" t="s">
        <v>222</v>
      </c>
      <c r="N99" s="18"/>
      <c r="O99" s="154">
        <v>4099</v>
      </c>
      <c r="P99" s="19"/>
      <c r="Q99" s="110"/>
      <c r="R99" s="110"/>
      <c r="S99" s="110"/>
      <c r="T99" s="110"/>
      <c r="U99" s="110"/>
      <c r="V99" s="110"/>
      <c r="W99" s="110"/>
      <c r="X99" s="110">
        <v>3154</v>
      </c>
      <c r="Y99" s="151">
        <f t="shared" si="11"/>
        <v>3630.2539999999999</v>
      </c>
      <c r="Z99" s="151">
        <f t="shared" si="10"/>
        <v>4018.691178</v>
      </c>
      <c r="AA99" s="151">
        <f t="shared" si="7"/>
        <v>4099.0650015600004</v>
      </c>
      <c r="AB99" s="151">
        <f t="shared" si="8"/>
        <v>4099</v>
      </c>
      <c r="AC99" s="168">
        <v>4099</v>
      </c>
    </row>
    <row r="100" spans="1:29">
      <c r="A100" s="8">
        <v>6095</v>
      </c>
      <c r="B100" s="9"/>
      <c r="C100" s="10" t="s">
        <v>223</v>
      </c>
      <c r="D100" s="7" t="s">
        <v>16</v>
      </c>
      <c r="E100" s="11" t="s">
        <v>17</v>
      </c>
      <c r="F100" s="20" t="s">
        <v>224</v>
      </c>
      <c r="G100" s="16" t="s">
        <v>19</v>
      </c>
      <c r="H100" s="14">
        <v>45269</v>
      </c>
      <c r="I100" s="14">
        <v>46000</v>
      </c>
      <c r="J100" s="15">
        <v>25</v>
      </c>
      <c r="K100" s="16">
        <v>2</v>
      </c>
      <c r="L100" s="79" t="s">
        <v>225</v>
      </c>
      <c r="M100" s="29" t="s">
        <v>226</v>
      </c>
      <c r="N100" s="36"/>
      <c r="O100" s="154">
        <v>3055</v>
      </c>
      <c r="P100" s="19"/>
      <c r="Q100" s="110"/>
      <c r="R100" s="110"/>
      <c r="S100" s="110"/>
      <c r="T100" s="110"/>
      <c r="U100" s="110"/>
      <c r="V100" s="110"/>
      <c r="W100" s="110"/>
      <c r="X100" s="110">
        <v>2351</v>
      </c>
      <c r="Y100" s="151">
        <f t="shared" si="11"/>
        <v>2706.0010000000002</v>
      </c>
      <c r="Z100" s="151">
        <f t="shared" si="10"/>
        <v>2995.543107</v>
      </c>
      <c r="AA100" s="151">
        <f t="shared" si="7"/>
        <v>3055.45396914</v>
      </c>
      <c r="AB100" s="151">
        <f t="shared" si="8"/>
        <v>3055</v>
      </c>
      <c r="AC100" s="168">
        <v>3055</v>
      </c>
    </row>
    <row r="101" spans="1:29">
      <c r="A101" s="8">
        <v>6096</v>
      </c>
      <c r="B101" s="9"/>
      <c r="C101" s="10" t="s">
        <v>223</v>
      </c>
      <c r="D101" s="7" t="s">
        <v>16</v>
      </c>
      <c r="E101" s="11" t="s">
        <v>17</v>
      </c>
      <c r="F101" s="20" t="s">
        <v>224</v>
      </c>
      <c r="G101" s="16" t="s">
        <v>19</v>
      </c>
      <c r="H101" s="14">
        <v>45269</v>
      </c>
      <c r="I101" s="14">
        <v>46000</v>
      </c>
      <c r="J101" s="15">
        <v>25</v>
      </c>
      <c r="K101" s="16">
        <v>2</v>
      </c>
      <c r="L101" s="79" t="s">
        <v>225</v>
      </c>
      <c r="M101" s="29" t="s">
        <v>226</v>
      </c>
      <c r="N101" s="36"/>
      <c r="O101" s="154">
        <v>3055</v>
      </c>
      <c r="P101" s="19"/>
      <c r="Q101" s="110"/>
      <c r="R101" s="110"/>
      <c r="S101" s="110"/>
      <c r="T101" s="110"/>
      <c r="U101" s="110"/>
      <c r="V101" s="110"/>
      <c r="W101" s="110"/>
      <c r="X101" s="110">
        <v>2351</v>
      </c>
      <c r="Y101" s="151">
        <f t="shared" si="11"/>
        <v>2706.0010000000002</v>
      </c>
      <c r="Z101" s="151">
        <f t="shared" si="10"/>
        <v>2995.543107</v>
      </c>
      <c r="AA101" s="151">
        <f t="shared" si="7"/>
        <v>3055.45396914</v>
      </c>
      <c r="AB101" s="151">
        <f t="shared" si="8"/>
        <v>3055</v>
      </c>
      <c r="AC101" s="168">
        <v>3055</v>
      </c>
    </row>
    <row r="102" spans="1:29">
      <c r="A102" s="8">
        <v>6097</v>
      </c>
      <c r="B102" s="9"/>
      <c r="C102" s="10" t="s">
        <v>223</v>
      </c>
      <c r="D102" s="7" t="s">
        <v>16</v>
      </c>
      <c r="E102" s="11" t="s">
        <v>17</v>
      </c>
      <c r="F102" s="20" t="s">
        <v>224</v>
      </c>
      <c r="G102" s="16" t="s">
        <v>19</v>
      </c>
      <c r="H102" s="14">
        <v>45269</v>
      </c>
      <c r="I102" s="14">
        <v>46000</v>
      </c>
      <c r="J102" s="15">
        <v>25</v>
      </c>
      <c r="K102" s="16">
        <v>2</v>
      </c>
      <c r="L102" s="79" t="s">
        <v>225</v>
      </c>
      <c r="M102" s="29" t="s">
        <v>226</v>
      </c>
      <c r="N102" s="36"/>
      <c r="O102" s="154">
        <v>3055</v>
      </c>
      <c r="P102" s="19"/>
      <c r="Q102" s="110"/>
      <c r="R102" s="110"/>
      <c r="S102" s="110"/>
      <c r="T102" s="110"/>
      <c r="U102" s="110"/>
      <c r="V102" s="110"/>
      <c r="W102" s="110"/>
      <c r="X102" s="110">
        <v>2351</v>
      </c>
      <c r="Y102" s="151">
        <f t="shared" si="11"/>
        <v>2706.0010000000002</v>
      </c>
      <c r="Z102" s="151">
        <f t="shared" si="10"/>
        <v>2995.543107</v>
      </c>
      <c r="AA102" s="151">
        <f t="shared" si="7"/>
        <v>3055.45396914</v>
      </c>
      <c r="AB102" s="151">
        <f t="shared" si="8"/>
        <v>3055</v>
      </c>
      <c r="AC102" s="168">
        <v>3055</v>
      </c>
    </row>
    <row r="103" spans="1:29">
      <c r="A103" s="8">
        <v>6098</v>
      </c>
      <c r="B103" s="9"/>
      <c r="C103" s="10" t="s">
        <v>223</v>
      </c>
      <c r="D103" s="7" t="s">
        <v>16</v>
      </c>
      <c r="E103" s="11" t="s">
        <v>17</v>
      </c>
      <c r="F103" s="20" t="s">
        <v>224</v>
      </c>
      <c r="G103" s="16" t="s">
        <v>19</v>
      </c>
      <c r="H103" s="14">
        <v>45269</v>
      </c>
      <c r="I103" s="14">
        <v>46000</v>
      </c>
      <c r="J103" s="15">
        <v>25</v>
      </c>
      <c r="K103" s="16">
        <v>2</v>
      </c>
      <c r="L103" s="79" t="s">
        <v>225</v>
      </c>
      <c r="M103" s="29" t="s">
        <v>226</v>
      </c>
      <c r="N103" s="36"/>
      <c r="O103" s="154">
        <v>3055</v>
      </c>
      <c r="P103" s="19"/>
      <c r="Q103" s="110"/>
      <c r="R103" s="110"/>
      <c r="S103" s="110"/>
      <c r="T103" s="110"/>
      <c r="U103" s="110"/>
      <c r="V103" s="110"/>
      <c r="W103" s="110"/>
      <c r="X103" s="110">
        <v>2351</v>
      </c>
      <c r="Y103" s="151">
        <f t="shared" si="11"/>
        <v>2706.0010000000002</v>
      </c>
      <c r="Z103" s="151">
        <f t="shared" si="10"/>
        <v>2995.543107</v>
      </c>
      <c r="AA103" s="151">
        <f t="shared" si="7"/>
        <v>3055.45396914</v>
      </c>
      <c r="AB103" s="151">
        <f t="shared" si="8"/>
        <v>3055</v>
      </c>
      <c r="AC103" s="168">
        <v>3055</v>
      </c>
    </row>
    <row r="104" spans="1:29">
      <c r="A104" s="8">
        <v>6099</v>
      </c>
      <c r="B104" s="9"/>
      <c r="C104" s="10" t="s">
        <v>223</v>
      </c>
      <c r="D104" s="7" t="s">
        <v>16</v>
      </c>
      <c r="E104" s="11" t="s">
        <v>17</v>
      </c>
      <c r="F104" s="20" t="s">
        <v>224</v>
      </c>
      <c r="G104" s="16" t="s">
        <v>19</v>
      </c>
      <c r="H104" s="14">
        <v>45269</v>
      </c>
      <c r="I104" s="14">
        <v>46000</v>
      </c>
      <c r="J104" s="15">
        <v>25</v>
      </c>
      <c r="K104" s="16">
        <v>2</v>
      </c>
      <c r="L104" s="79" t="s">
        <v>225</v>
      </c>
      <c r="M104" s="29" t="s">
        <v>226</v>
      </c>
      <c r="N104" s="36"/>
      <c r="O104" s="154">
        <v>3055</v>
      </c>
      <c r="P104" s="19"/>
      <c r="Q104" s="110"/>
      <c r="R104" s="110"/>
      <c r="S104" s="110"/>
      <c r="T104" s="110"/>
      <c r="U104" s="110"/>
      <c r="V104" s="110"/>
      <c r="W104" s="110"/>
      <c r="X104" s="110">
        <v>2351</v>
      </c>
      <c r="Y104" s="151">
        <f t="shared" si="11"/>
        <v>2706.0010000000002</v>
      </c>
      <c r="Z104" s="151">
        <f t="shared" si="10"/>
        <v>2995.543107</v>
      </c>
      <c r="AA104" s="151">
        <f t="shared" si="7"/>
        <v>3055.45396914</v>
      </c>
      <c r="AB104" s="151">
        <f t="shared" si="8"/>
        <v>3055</v>
      </c>
      <c r="AC104" s="168">
        <v>3055</v>
      </c>
    </row>
    <row r="105" spans="1:29">
      <c r="A105" s="8">
        <v>6100</v>
      </c>
      <c r="B105" s="9"/>
      <c r="C105" s="10" t="s">
        <v>223</v>
      </c>
      <c r="D105" s="7" t="s">
        <v>16</v>
      </c>
      <c r="E105" s="11" t="s">
        <v>17</v>
      </c>
      <c r="F105" s="20" t="s">
        <v>224</v>
      </c>
      <c r="G105" s="16" t="s">
        <v>19</v>
      </c>
      <c r="H105" s="14">
        <v>45269</v>
      </c>
      <c r="I105" s="14">
        <v>46000</v>
      </c>
      <c r="J105" s="15">
        <v>25</v>
      </c>
      <c r="K105" s="16">
        <v>2</v>
      </c>
      <c r="L105" s="79" t="s">
        <v>225</v>
      </c>
      <c r="M105" s="29" t="s">
        <v>226</v>
      </c>
      <c r="N105" s="36"/>
      <c r="O105" s="154">
        <v>3055</v>
      </c>
      <c r="P105" s="19"/>
      <c r="Q105" s="110"/>
      <c r="R105" s="110"/>
      <c r="S105" s="110"/>
      <c r="T105" s="110"/>
      <c r="U105" s="110"/>
      <c r="V105" s="110"/>
      <c r="W105" s="110"/>
      <c r="X105" s="110">
        <v>2351</v>
      </c>
      <c r="Y105" s="151">
        <f t="shared" si="11"/>
        <v>2706.0010000000002</v>
      </c>
      <c r="Z105" s="151">
        <f t="shared" si="10"/>
        <v>2995.543107</v>
      </c>
      <c r="AA105" s="151">
        <f t="shared" si="7"/>
        <v>3055.45396914</v>
      </c>
      <c r="AB105" s="151">
        <f t="shared" si="8"/>
        <v>3055</v>
      </c>
      <c r="AC105" s="168">
        <v>3055</v>
      </c>
    </row>
    <row r="106" spans="1:29">
      <c r="A106" s="8">
        <v>6102</v>
      </c>
      <c r="B106" s="9"/>
      <c r="C106" s="10" t="s">
        <v>227</v>
      </c>
      <c r="D106" s="7" t="s">
        <v>16</v>
      </c>
      <c r="E106" s="11" t="s">
        <v>17</v>
      </c>
      <c r="F106" s="20" t="s">
        <v>224</v>
      </c>
      <c r="G106" s="16" t="s">
        <v>19</v>
      </c>
      <c r="H106" s="14">
        <v>45269</v>
      </c>
      <c r="I106" s="14">
        <v>46000</v>
      </c>
      <c r="J106" s="15">
        <v>25</v>
      </c>
      <c r="K106" s="16">
        <v>2</v>
      </c>
      <c r="L106" s="79" t="s">
        <v>225</v>
      </c>
      <c r="M106" s="29" t="s">
        <v>226</v>
      </c>
      <c r="N106" s="36"/>
      <c r="O106" s="154">
        <v>3055</v>
      </c>
      <c r="P106" s="19"/>
      <c r="Q106" s="110"/>
      <c r="R106" s="110"/>
      <c r="S106" s="110"/>
      <c r="T106" s="110"/>
      <c r="U106" s="110"/>
      <c r="V106" s="110"/>
      <c r="W106" s="110"/>
      <c r="X106" s="110">
        <v>2351</v>
      </c>
      <c r="Y106" s="151">
        <f t="shared" si="11"/>
        <v>2706.0010000000002</v>
      </c>
      <c r="Z106" s="151">
        <f t="shared" si="10"/>
        <v>2995.543107</v>
      </c>
      <c r="AA106" s="151">
        <f t="shared" si="7"/>
        <v>3055.45396914</v>
      </c>
      <c r="AB106" s="151">
        <f t="shared" si="8"/>
        <v>3055</v>
      </c>
      <c r="AC106" s="168">
        <v>3055</v>
      </c>
    </row>
    <row r="107" spans="1:29">
      <c r="A107" s="8">
        <v>6103</v>
      </c>
      <c r="B107" s="9"/>
      <c r="C107" s="10" t="s">
        <v>227</v>
      </c>
      <c r="D107" s="7" t="s">
        <v>16</v>
      </c>
      <c r="E107" s="11" t="s">
        <v>17</v>
      </c>
      <c r="F107" s="20" t="s">
        <v>224</v>
      </c>
      <c r="G107" s="16" t="s">
        <v>19</v>
      </c>
      <c r="H107" s="14">
        <v>45269</v>
      </c>
      <c r="I107" s="14">
        <v>46000</v>
      </c>
      <c r="J107" s="15">
        <v>25</v>
      </c>
      <c r="K107" s="16">
        <v>2</v>
      </c>
      <c r="L107" s="79" t="s">
        <v>225</v>
      </c>
      <c r="M107" s="29" t="s">
        <v>226</v>
      </c>
      <c r="N107" s="36"/>
      <c r="O107" s="154">
        <v>3055</v>
      </c>
      <c r="P107" s="19"/>
      <c r="Q107" s="110"/>
      <c r="R107" s="110"/>
      <c r="S107" s="110"/>
      <c r="T107" s="110"/>
      <c r="U107" s="110"/>
      <c r="V107" s="110"/>
      <c r="W107" s="110"/>
      <c r="X107" s="110">
        <v>2351</v>
      </c>
      <c r="Y107" s="151">
        <f t="shared" si="11"/>
        <v>2706.0010000000002</v>
      </c>
      <c r="Z107" s="151">
        <f t="shared" si="10"/>
        <v>2995.543107</v>
      </c>
      <c r="AA107" s="151">
        <f t="shared" si="7"/>
        <v>3055.45396914</v>
      </c>
      <c r="AB107" s="151">
        <f t="shared" si="8"/>
        <v>3055</v>
      </c>
      <c r="AC107" s="168">
        <v>3055</v>
      </c>
    </row>
    <row r="108" spans="1:29">
      <c r="A108" s="8">
        <v>6104</v>
      </c>
      <c r="B108" s="9"/>
      <c r="C108" s="10" t="s">
        <v>227</v>
      </c>
      <c r="D108" s="7" t="s">
        <v>16</v>
      </c>
      <c r="E108" s="11" t="s">
        <v>17</v>
      </c>
      <c r="F108" s="20" t="s">
        <v>224</v>
      </c>
      <c r="G108" s="16" t="s">
        <v>19</v>
      </c>
      <c r="H108" s="14">
        <v>45269</v>
      </c>
      <c r="I108" s="14">
        <v>46000</v>
      </c>
      <c r="J108" s="15">
        <v>25</v>
      </c>
      <c r="K108" s="16">
        <v>2</v>
      </c>
      <c r="L108" s="79" t="s">
        <v>225</v>
      </c>
      <c r="M108" s="29" t="s">
        <v>226</v>
      </c>
      <c r="N108" s="36"/>
      <c r="O108" s="154">
        <v>3055</v>
      </c>
      <c r="P108" s="19"/>
      <c r="Q108" s="110"/>
      <c r="R108" s="110"/>
      <c r="S108" s="110"/>
      <c r="T108" s="110"/>
      <c r="U108" s="110"/>
      <c r="V108" s="110"/>
      <c r="W108" s="110"/>
      <c r="X108" s="110">
        <v>2351</v>
      </c>
      <c r="Y108" s="151">
        <f t="shared" si="11"/>
        <v>2706.0010000000002</v>
      </c>
      <c r="Z108" s="151">
        <f t="shared" si="10"/>
        <v>2995.543107</v>
      </c>
      <c r="AA108" s="151">
        <f t="shared" si="7"/>
        <v>3055.45396914</v>
      </c>
      <c r="AB108" s="151">
        <f t="shared" si="8"/>
        <v>3055</v>
      </c>
      <c r="AC108" s="168">
        <v>3055</v>
      </c>
    </row>
    <row r="109" spans="1:29">
      <c r="A109" s="8">
        <v>6105</v>
      </c>
      <c r="B109" s="9"/>
      <c r="C109" s="10" t="s">
        <v>227</v>
      </c>
      <c r="D109" s="7" t="s">
        <v>16</v>
      </c>
      <c r="E109" s="11" t="s">
        <v>17</v>
      </c>
      <c r="F109" s="20" t="s">
        <v>224</v>
      </c>
      <c r="G109" s="16" t="s">
        <v>19</v>
      </c>
      <c r="H109" s="14">
        <v>45269</v>
      </c>
      <c r="I109" s="14">
        <v>46000</v>
      </c>
      <c r="J109" s="15">
        <v>25</v>
      </c>
      <c r="K109" s="16">
        <v>2</v>
      </c>
      <c r="L109" s="79" t="s">
        <v>225</v>
      </c>
      <c r="M109" s="29" t="s">
        <v>226</v>
      </c>
      <c r="N109" s="36"/>
      <c r="O109" s="154">
        <v>3055</v>
      </c>
      <c r="P109" s="19"/>
      <c r="Q109" s="110"/>
      <c r="R109" s="110"/>
      <c r="S109" s="110"/>
      <c r="T109" s="110"/>
      <c r="U109" s="110"/>
      <c r="V109" s="110"/>
      <c r="W109" s="110"/>
      <c r="X109" s="110">
        <v>2351</v>
      </c>
      <c r="Y109" s="151">
        <f t="shared" si="11"/>
        <v>2706.0010000000002</v>
      </c>
      <c r="Z109" s="151">
        <f t="shared" si="10"/>
        <v>2995.543107</v>
      </c>
      <c r="AA109" s="151">
        <f t="shared" si="7"/>
        <v>3055.45396914</v>
      </c>
      <c r="AB109" s="151">
        <f t="shared" si="8"/>
        <v>3055</v>
      </c>
      <c r="AC109" s="168">
        <v>3055</v>
      </c>
    </row>
    <row r="110" spans="1:29">
      <c r="A110" s="8">
        <v>6106</v>
      </c>
      <c r="B110" s="9"/>
      <c r="C110" s="10" t="s">
        <v>227</v>
      </c>
      <c r="D110" s="7" t="s">
        <v>16</v>
      </c>
      <c r="E110" s="11" t="s">
        <v>17</v>
      </c>
      <c r="F110" s="20" t="s">
        <v>224</v>
      </c>
      <c r="G110" s="16" t="s">
        <v>19</v>
      </c>
      <c r="H110" s="14">
        <v>45269</v>
      </c>
      <c r="I110" s="14">
        <v>46000</v>
      </c>
      <c r="J110" s="15">
        <v>25</v>
      </c>
      <c r="K110" s="16">
        <v>2</v>
      </c>
      <c r="L110" s="79" t="s">
        <v>225</v>
      </c>
      <c r="M110" s="29" t="s">
        <v>226</v>
      </c>
      <c r="N110" s="36"/>
      <c r="O110" s="154">
        <v>3055</v>
      </c>
      <c r="P110" s="19"/>
      <c r="Q110" s="110"/>
      <c r="R110" s="110"/>
      <c r="S110" s="110"/>
      <c r="T110" s="110"/>
      <c r="U110" s="110"/>
      <c r="V110" s="110"/>
      <c r="W110" s="110"/>
      <c r="X110" s="110">
        <v>2351</v>
      </c>
      <c r="Y110" s="151">
        <f t="shared" si="11"/>
        <v>2706.0010000000002</v>
      </c>
      <c r="Z110" s="151">
        <f t="shared" si="10"/>
        <v>2995.543107</v>
      </c>
      <c r="AA110" s="151">
        <f t="shared" si="7"/>
        <v>3055.45396914</v>
      </c>
      <c r="AB110" s="151">
        <f t="shared" si="8"/>
        <v>3055</v>
      </c>
      <c r="AC110" s="168">
        <v>3055</v>
      </c>
    </row>
    <row r="111" spans="1:29">
      <c r="A111" s="8">
        <v>6107</v>
      </c>
      <c r="B111" s="9"/>
      <c r="C111" s="10" t="s">
        <v>227</v>
      </c>
      <c r="D111" s="7" t="s">
        <v>16</v>
      </c>
      <c r="E111" s="11" t="s">
        <v>17</v>
      </c>
      <c r="F111" s="20" t="s">
        <v>224</v>
      </c>
      <c r="G111" s="16" t="s">
        <v>19</v>
      </c>
      <c r="H111" s="14">
        <v>45269</v>
      </c>
      <c r="I111" s="14">
        <v>46000</v>
      </c>
      <c r="J111" s="15">
        <v>25</v>
      </c>
      <c r="K111" s="16">
        <v>2</v>
      </c>
      <c r="L111" s="79" t="s">
        <v>225</v>
      </c>
      <c r="M111" s="29" t="s">
        <v>226</v>
      </c>
      <c r="N111" s="36"/>
      <c r="O111" s="154">
        <v>3055</v>
      </c>
      <c r="P111" s="19"/>
      <c r="Q111" s="110"/>
      <c r="R111" s="110"/>
      <c r="S111" s="110"/>
      <c r="T111" s="110"/>
      <c r="U111" s="110"/>
      <c r="V111" s="110"/>
      <c r="W111" s="110"/>
      <c r="X111" s="110">
        <v>2351</v>
      </c>
      <c r="Y111" s="151">
        <f t="shared" si="11"/>
        <v>2706.0010000000002</v>
      </c>
      <c r="Z111" s="151">
        <f t="shared" si="10"/>
        <v>2995.543107</v>
      </c>
      <c r="AA111" s="151">
        <f t="shared" si="7"/>
        <v>3055.45396914</v>
      </c>
      <c r="AB111" s="151">
        <f t="shared" si="8"/>
        <v>3055</v>
      </c>
      <c r="AC111" s="168">
        <v>3055</v>
      </c>
    </row>
    <row r="112" spans="1:29">
      <c r="A112" s="8">
        <v>6109</v>
      </c>
      <c r="B112" s="9"/>
      <c r="C112" s="10" t="s">
        <v>228</v>
      </c>
      <c r="D112" s="7" t="s">
        <v>16</v>
      </c>
      <c r="E112" s="11" t="s">
        <v>17</v>
      </c>
      <c r="F112" s="20" t="s">
        <v>224</v>
      </c>
      <c r="G112" s="16" t="s">
        <v>19</v>
      </c>
      <c r="H112" s="14">
        <v>45269</v>
      </c>
      <c r="I112" s="14">
        <v>46000</v>
      </c>
      <c r="J112" s="15">
        <v>25</v>
      </c>
      <c r="K112" s="16">
        <v>2</v>
      </c>
      <c r="L112" s="79" t="s">
        <v>225</v>
      </c>
      <c r="M112" s="29" t="s">
        <v>226</v>
      </c>
      <c r="N112" s="36"/>
      <c r="O112" s="154">
        <v>3055</v>
      </c>
      <c r="P112" s="19"/>
      <c r="Q112" s="110"/>
      <c r="R112" s="110"/>
      <c r="S112" s="110"/>
      <c r="T112" s="110"/>
      <c r="U112" s="110"/>
      <c r="V112" s="110"/>
      <c r="W112" s="110"/>
      <c r="X112" s="110">
        <v>2351</v>
      </c>
      <c r="Y112" s="151">
        <f t="shared" si="11"/>
        <v>2706.0010000000002</v>
      </c>
      <c r="Z112" s="151">
        <f t="shared" si="10"/>
        <v>2995.543107</v>
      </c>
      <c r="AA112" s="151">
        <f t="shared" si="7"/>
        <v>3055.45396914</v>
      </c>
      <c r="AB112" s="151">
        <f t="shared" si="8"/>
        <v>3055</v>
      </c>
      <c r="AC112" s="168">
        <v>3055</v>
      </c>
    </row>
    <row r="113" spans="1:29">
      <c r="A113" s="8">
        <v>6110</v>
      </c>
      <c r="B113" s="9"/>
      <c r="C113" s="10" t="s">
        <v>228</v>
      </c>
      <c r="D113" s="7" t="s">
        <v>16</v>
      </c>
      <c r="E113" s="11" t="s">
        <v>17</v>
      </c>
      <c r="F113" s="20" t="s">
        <v>224</v>
      </c>
      <c r="G113" s="16" t="s">
        <v>19</v>
      </c>
      <c r="H113" s="14">
        <v>45269</v>
      </c>
      <c r="I113" s="14">
        <v>46000</v>
      </c>
      <c r="J113" s="15">
        <v>25</v>
      </c>
      <c r="K113" s="16">
        <v>2</v>
      </c>
      <c r="L113" s="79" t="s">
        <v>225</v>
      </c>
      <c r="M113" s="29" t="s">
        <v>226</v>
      </c>
      <c r="N113" s="36"/>
      <c r="O113" s="154">
        <v>3055</v>
      </c>
      <c r="P113" s="19"/>
      <c r="Q113" s="110"/>
      <c r="R113" s="110"/>
      <c r="S113" s="110"/>
      <c r="T113" s="110"/>
      <c r="U113" s="110"/>
      <c r="V113" s="110"/>
      <c r="W113" s="110"/>
      <c r="X113" s="110">
        <v>2351</v>
      </c>
      <c r="Y113" s="151">
        <f t="shared" si="11"/>
        <v>2706.0010000000002</v>
      </c>
      <c r="Z113" s="151">
        <f t="shared" si="10"/>
        <v>2995.543107</v>
      </c>
      <c r="AA113" s="151">
        <f t="shared" si="7"/>
        <v>3055.45396914</v>
      </c>
      <c r="AB113" s="151">
        <f t="shared" si="8"/>
        <v>3055</v>
      </c>
      <c r="AC113" s="168">
        <v>3055</v>
      </c>
    </row>
    <row r="114" spans="1:29">
      <c r="A114" s="8">
        <v>6111</v>
      </c>
      <c r="B114" s="9"/>
      <c r="C114" s="10" t="s">
        <v>228</v>
      </c>
      <c r="D114" s="7" t="s">
        <v>16</v>
      </c>
      <c r="E114" s="11" t="s">
        <v>17</v>
      </c>
      <c r="F114" s="20" t="s">
        <v>224</v>
      </c>
      <c r="G114" s="16" t="s">
        <v>19</v>
      </c>
      <c r="H114" s="14">
        <v>45269</v>
      </c>
      <c r="I114" s="14">
        <v>46000</v>
      </c>
      <c r="J114" s="15">
        <v>25</v>
      </c>
      <c r="K114" s="16">
        <v>2</v>
      </c>
      <c r="L114" s="79" t="s">
        <v>225</v>
      </c>
      <c r="M114" s="29" t="s">
        <v>226</v>
      </c>
      <c r="N114" s="36"/>
      <c r="O114" s="154">
        <v>3055</v>
      </c>
      <c r="P114" s="19"/>
      <c r="Q114" s="110"/>
      <c r="R114" s="110"/>
      <c r="S114" s="110"/>
      <c r="T114" s="110"/>
      <c r="U114" s="110"/>
      <c r="V114" s="110"/>
      <c r="W114" s="110"/>
      <c r="X114" s="110">
        <v>2351</v>
      </c>
      <c r="Y114" s="151">
        <f t="shared" si="11"/>
        <v>2706.0010000000002</v>
      </c>
      <c r="Z114" s="151">
        <f t="shared" si="10"/>
        <v>2995.543107</v>
      </c>
      <c r="AA114" s="151">
        <f t="shared" si="7"/>
        <v>3055.45396914</v>
      </c>
      <c r="AB114" s="151">
        <f t="shared" si="8"/>
        <v>3055</v>
      </c>
      <c r="AC114" s="168">
        <v>3055</v>
      </c>
    </row>
    <row r="115" spans="1:29">
      <c r="A115" s="8">
        <v>6112</v>
      </c>
      <c r="B115" s="9"/>
      <c r="C115" s="10" t="s">
        <v>228</v>
      </c>
      <c r="D115" s="7" t="s">
        <v>16</v>
      </c>
      <c r="E115" s="11" t="s">
        <v>17</v>
      </c>
      <c r="F115" s="20" t="s">
        <v>224</v>
      </c>
      <c r="G115" s="16" t="s">
        <v>19</v>
      </c>
      <c r="H115" s="14">
        <v>45269</v>
      </c>
      <c r="I115" s="14">
        <v>46000</v>
      </c>
      <c r="J115" s="15">
        <v>25</v>
      </c>
      <c r="K115" s="16">
        <v>2</v>
      </c>
      <c r="L115" s="79" t="s">
        <v>225</v>
      </c>
      <c r="M115" s="29" t="s">
        <v>226</v>
      </c>
      <c r="N115" s="36"/>
      <c r="O115" s="154">
        <v>3055</v>
      </c>
      <c r="P115" s="19"/>
      <c r="Q115" s="110"/>
      <c r="R115" s="110"/>
      <c r="S115" s="110"/>
      <c r="T115" s="110"/>
      <c r="U115" s="110"/>
      <c r="V115" s="110"/>
      <c r="W115" s="110"/>
      <c r="X115" s="110">
        <v>2351</v>
      </c>
      <c r="Y115" s="151">
        <f t="shared" si="11"/>
        <v>2706.0010000000002</v>
      </c>
      <c r="Z115" s="151">
        <f t="shared" si="10"/>
        <v>2995.543107</v>
      </c>
      <c r="AA115" s="151">
        <f t="shared" si="7"/>
        <v>3055.45396914</v>
      </c>
      <c r="AB115" s="151">
        <f t="shared" si="8"/>
        <v>3055</v>
      </c>
      <c r="AC115" s="168">
        <v>3055</v>
      </c>
    </row>
    <row r="116" spans="1:29">
      <c r="A116" s="8">
        <v>6113</v>
      </c>
      <c r="B116" s="9"/>
      <c r="C116" s="10" t="s">
        <v>228</v>
      </c>
      <c r="D116" s="7" t="s">
        <v>16</v>
      </c>
      <c r="E116" s="11" t="s">
        <v>17</v>
      </c>
      <c r="F116" s="20" t="s">
        <v>224</v>
      </c>
      <c r="G116" s="16" t="s">
        <v>19</v>
      </c>
      <c r="H116" s="14">
        <v>45269</v>
      </c>
      <c r="I116" s="14">
        <v>46000</v>
      </c>
      <c r="J116" s="15">
        <v>25</v>
      </c>
      <c r="K116" s="16">
        <v>2</v>
      </c>
      <c r="L116" s="79" t="s">
        <v>225</v>
      </c>
      <c r="M116" s="29" t="s">
        <v>226</v>
      </c>
      <c r="N116" s="36"/>
      <c r="O116" s="154">
        <v>3055</v>
      </c>
      <c r="P116" s="19"/>
      <c r="Q116" s="110"/>
      <c r="R116" s="110"/>
      <c r="S116" s="110"/>
      <c r="T116" s="110"/>
      <c r="U116" s="110"/>
      <c r="V116" s="110"/>
      <c r="W116" s="110"/>
      <c r="X116" s="110">
        <v>2351</v>
      </c>
      <c r="Y116" s="151">
        <f t="shared" si="11"/>
        <v>2706.0010000000002</v>
      </c>
      <c r="Z116" s="151">
        <f t="shared" si="10"/>
        <v>2995.543107</v>
      </c>
      <c r="AA116" s="151">
        <f t="shared" si="7"/>
        <v>3055.45396914</v>
      </c>
      <c r="AB116" s="151">
        <f t="shared" si="8"/>
        <v>3055</v>
      </c>
      <c r="AC116" s="168">
        <v>3055</v>
      </c>
    </row>
    <row r="117" spans="1:29">
      <c r="A117" s="8">
        <v>6114</v>
      </c>
      <c r="B117" s="9"/>
      <c r="C117" s="10" t="s">
        <v>228</v>
      </c>
      <c r="D117" s="7" t="s">
        <v>16</v>
      </c>
      <c r="E117" s="11" t="s">
        <v>17</v>
      </c>
      <c r="F117" s="20" t="s">
        <v>224</v>
      </c>
      <c r="G117" s="16" t="s">
        <v>19</v>
      </c>
      <c r="H117" s="14">
        <v>45269</v>
      </c>
      <c r="I117" s="14">
        <v>46000</v>
      </c>
      <c r="J117" s="15">
        <v>25</v>
      </c>
      <c r="K117" s="16">
        <v>2</v>
      </c>
      <c r="L117" s="74" t="s">
        <v>229</v>
      </c>
      <c r="M117" s="36" t="s">
        <v>230</v>
      </c>
      <c r="N117" s="36"/>
      <c r="O117" s="154">
        <v>3055</v>
      </c>
      <c r="P117" s="19"/>
      <c r="Q117" s="110"/>
      <c r="R117" s="110"/>
      <c r="S117" s="110"/>
      <c r="T117" s="110"/>
      <c r="U117" s="110"/>
      <c r="V117" s="110"/>
      <c r="W117" s="110"/>
      <c r="X117" s="110">
        <v>2351</v>
      </c>
      <c r="Y117" s="151">
        <f t="shared" si="11"/>
        <v>2706.0010000000002</v>
      </c>
      <c r="Z117" s="151">
        <f t="shared" si="10"/>
        <v>2995.543107</v>
      </c>
      <c r="AA117" s="151">
        <f t="shared" si="7"/>
        <v>3055.45396914</v>
      </c>
      <c r="AB117" s="151">
        <f t="shared" si="8"/>
        <v>3055</v>
      </c>
      <c r="AC117" s="168">
        <v>3055</v>
      </c>
    </row>
    <row r="118" spans="1:29">
      <c r="A118" s="8">
        <v>6116</v>
      </c>
      <c r="B118" s="9"/>
      <c r="C118" s="10" t="s">
        <v>231</v>
      </c>
      <c r="D118" s="7" t="s">
        <v>16</v>
      </c>
      <c r="E118" s="11" t="s">
        <v>17</v>
      </c>
      <c r="F118" s="20" t="s">
        <v>224</v>
      </c>
      <c r="G118" s="21" t="s">
        <v>19</v>
      </c>
      <c r="H118" s="14">
        <v>45255</v>
      </c>
      <c r="I118" s="14">
        <v>45986</v>
      </c>
      <c r="J118" s="15">
        <v>25</v>
      </c>
      <c r="K118" s="16">
        <v>2</v>
      </c>
      <c r="L118" s="79" t="s">
        <v>225</v>
      </c>
      <c r="M118" s="29" t="s">
        <v>226</v>
      </c>
      <c r="N118" s="36"/>
      <c r="O118" s="154">
        <v>3055</v>
      </c>
      <c r="P118" s="19"/>
      <c r="Q118" s="110"/>
      <c r="R118" s="110"/>
      <c r="S118" s="110"/>
      <c r="T118" s="110"/>
      <c r="U118" s="110"/>
      <c r="V118" s="110"/>
      <c r="W118" s="110"/>
      <c r="X118" s="110">
        <v>2351</v>
      </c>
      <c r="Y118" s="151">
        <f t="shared" si="11"/>
        <v>2706.0010000000002</v>
      </c>
      <c r="Z118" s="151">
        <f t="shared" si="10"/>
        <v>2995.543107</v>
      </c>
      <c r="AA118" s="151">
        <f t="shared" si="7"/>
        <v>3055.45396914</v>
      </c>
      <c r="AB118" s="151">
        <f t="shared" si="8"/>
        <v>3055</v>
      </c>
      <c r="AC118" s="168">
        <v>3055</v>
      </c>
    </row>
    <row r="119" spans="1:29">
      <c r="A119" s="8">
        <v>6117</v>
      </c>
      <c r="B119" s="9"/>
      <c r="C119" s="10" t="s">
        <v>232</v>
      </c>
      <c r="D119" s="7" t="s">
        <v>16</v>
      </c>
      <c r="E119" s="11" t="s">
        <v>17</v>
      </c>
      <c r="F119" s="20" t="s">
        <v>224</v>
      </c>
      <c r="G119" s="21" t="s">
        <v>19</v>
      </c>
      <c r="H119" s="14">
        <v>45255</v>
      </c>
      <c r="I119" s="14">
        <v>45986</v>
      </c>
      <c r="J119" s="15">
        <v>25</v>
      </c>
      <c r="K119" s="16">
        <v>2</v>
      </c>
      <c r="L119" s="79" t="s">
        <v>225</v>
      </c>
      <c r="M119" s="29" t="s">
        <v>226</v>
      </c>
      <c r="N119" s="36"/>
      <c r="O119" s="154">
        <v>3055</v>
      </c>
      <c r="P119" s="19"/>
      <c r="Q119" s="110"/>
      <c r="R119" s="110"/>
      <c r="S119" s="110"/>
      <c r="T119" s="110"/>
      <c r="U119" s="110"/>
      <c r="V119" s="110"/>
      <c r="W119" s="110"/>
      <c r="X119" s="110">
        <v>2351</v>
      </c>
      <c r="Y119" s="151">
        <f t="shared" si="11"/>
        <v>2706.0010000000002</v>
      </c>
      <c r="Z119" s="151">
        <f t="shared" si="10"/>
        <v>2995.543107</v>
      </c>
      <c r="AA119" s="151">
        <f t="shared" si="7"/>
        <v>3055.45396914</v>
      </c>
      <c r="AB119" s="151">
        <f t="shared" si="8"/>
        <v>3055</v>
      </c>
      <c r="AC119" s="168">
        <v>3055</v>
      </c>
    </row>
    <row r="120" spans="1:29">
      <c r="A120" s="8">
        <v>6118</v>
      </c>
      <c r="B120" s="9"/>
      <c r="C120" s="10" t="s">
        <v>233</v>
      </c>
      <c r="D120" s="7" t="s">
        <v>16</v>
      </c>
      <c r="E120" s="11" t="s">
        <v>17</v>
      </c>
      <c r="F120" s="20" t="s">
        <v>224</v>
      </c>
      <c r="G120" s="16" t="s">
        <v>19</v>
      </c>
      <c r="H120" s="14">
        <v>45255</v>
      </c>
      <c r="I120" s="14">
        <v>45986</v>
      </c>
      <c r="J120" s="15">
        <v>25</v>
      </c>
      <c r="K120" s="16">
        <v>2</v>
      </c>
      <c r="L120" s="79" t="s">
        <v>225</v>
      </c>
      <c r="M120" s="29" t="s">
        <v>234</v>
      </c>
      <c r="N120" s="36"/>
      <c r="O120" s="154">
        <v>3055</v>
      </c>
      <c r="P120" s="19"/>
      <c r="Q120" s="110"/>
      <c r="R120" s="110"/>
      <c r="S120" s="110"/>
      <c r="T120" s="110"/>
      <c r="U120" s="110"/>
      <c r="V120" s="110"/>
      <c r="W120" s="110"/>
      <c r="X120" s="110">
        <v>2351</v>
      </c>
      <c r="Y120" s="151">
        <f t="shared" si="11"/>
        <v>2706.0010000000002</v>
      </c>
      <c r="Z120" s="151">
        <f t="shared" si="10"/>
        <v>2995.543107</v>
      </c>
      <c r="AA120" s="151">
        <f t="shared" si="7"/>
        <v>3055.45396914</v>
      </c>
      <c r="AB120" s="151">
        <f t="shared" si="8"/>
        <v>3055</v>
      </c>
      <c r="AC120" s="168">
        <v>3055</v>
      </c>
    </row>
    <row r="121" spans="1:29">
      <c r="A121" s="8">
        <v>6119</v>
      </c>
      <c r="B121" s="9"/>
      <c r="C121" s="10" t="s">
        <v>233</v>
      </c>
      <c r="D121" s="7" t="s">
        <v>16</v>
      </c>
      <c r="E121" s="11" t="s">
        <v>17</v>
      </c>
      <c r="F121" s="20" t="s">
        <v>224</v>
      </c>
      <c r="G121" s="16" t="s">
        <v>19</v>
      </c>
      <c r="H121" s="14">
        <v>45255</v>
      </c>
      <c r="I121" s="14">
        <v>45986</v>
      </c>
      <c r="J121" s="15">
        <v>25</v>
      </c>
      <c r="K121" s="16">
        <v>2</v>
      </c>
      <c r="L121" s="79" t="s">
        <v>225</v>
      </c>
      <c r="M121" s="29" t="s">
        <v>235</v>
      </c>
      <c r="N121" s="36"/>
      <c r="O121" s="154">
        <v>3055</v>
      </c>
      <c r="P121" s="19"/>
      <c r="Q121" s="110"/>
      <c r="R121" s="110"/>
      <c r="S121" s="110"/>
      <c r="T121" s="110"/>
      <c r="U121" s="110"/>
      <c r="V121" s="110"/>
      <c r="W121" s="110"/>
      <c r="X121" s="110">
        <v>2351</v>
      </c>
      <c r="Y121" s="151">
        <f t="shared" si="11"/>
        <v>2706.0010000000002</v>
      </c>
      <c r="Z121" s="151">
        <f t="shared" si="10"/>
        <v>2995.543107</v>
      </c>
      <c r="AA121" s="151">
        <f t="shared" si="7"/>
        <v>3055.45396914</v>
      </c>
      <c r="AB121" s="151">
        <f t="shared" si="8"/>
        <v>3055</v>
      </c>
      <c r="AC121" s="168">
        <v>3055</v>
      </c>
    </row>
    <row r="122" spans="1:29">
      <c r="A122" s="8">
        <v>6120</v>
      </c>
      <c r="B122" s="9"/>
      <c r="C122" s="10" t="s">
        <v>236</v>
      </c>
      <c r="D122" s="7" t="s">
        <v>16</v>
      </c>
      <c r="E122" s="11" t="s">
        <v>17</v>
      </c>
      <c r="F122" s="20" t="s">
        <v>224</v>
      </c>
      <c r="G122" s="16" t="s">
        <v>19</v>
      </c>
      <c r="H122" s="14">
        <v>45255</v>
      </c>
      <c r="I122" s="14">
        <v>45986</v>
      </c>
      <c r="J122" s="15">
        <v>25</v>
      </c>
      <c r="K122" s="16">
        <v>2</v>
      </c>
      <c r="L122" s="79" t="s">
        <v>225</v>
      </c>
      <c r="M122" s="29" t="s">
        <v>234</v>
      </c>
      <c r="N122" s="36"/>
      <c r="O122" s="154">
        <v>3055</v>
      </c>
      <c r="P122" s="19"/>
      <c r="Q122" s="110"/>
      <c r="R122" s="110"/>
      <c r="S122" s="110"/>
      <c r="T122" s="110"/>
      <c r="U122" s="110"/>
      <c r="V122" s="110"/>
      <c r="W122" s="110"/>
      <c r="X122" s="110">
        <v>2351</v>
      </c>
      <c r="Y122" s="151">
        <f t="shared" si="11"/>
        <v>2706.0010000000002</v>
      </c>
      <c r="Z122" s="151">
        <f t="shared" si="10"/>
        <v>2995.543107</v>
      </c>
      <c r="AA122" s="151">
        <f t="shared" si="7"/>
        <v>3055.45396914</v>
      </c>
      <c r="AB122" s="151">
        <f t="shared" si="8"/>
        <v>3055</v>
      </c>
      <c r="AC122" s="168">
        <v>3055</v>
      </c>
    </row>
    <row r="123" spans="1:29">
      <c r="A123" s="8">
        <v>6121</v>
      </c>
      <c r="B123" s="9"/>
      <c r="C123" s="10" t="s">
        <v>236</v>
      </c>
      <c r="D123" s="7" t="s">
        <v>16</v>
      </c>
      <c r="E123" s="11" t="s">
        <v>17</v>
      </c>
      <c r="F123" s="20" t="s">
        <v>224</v>
      </c>
      <c r="G123" s="16" t="s">
        <v>19</v>
      </c>
      <c r="H123" s="14">
        <v>45255</v>
      </c>
      <c r="I123" s="14">
        <v>45986</v>
      </c>
      <c r="J123" s="15">
        <v>25</v>
      </c>
      <c r="K123" s="16">
        <v>2</v>
      </c>
      <c r="L123" s="79" t="s">
        <v>225</v>
      </c>
      <c r="M123" s="29" t="s">
        <v>237</v>
      </c>
      <c r="N123" s="36"/>
      <c r="O123" s="154">
        <v>3055</v>
      </c>
      <c r="P123" s="19"/>
      <c r="Q123" s="110"/>
      <c r="R123" s="110"/>
      <c r="S123" s="110"/>
      <c r="T123" s="110"/>
      <c r="U123" s="110"/>
      <c r="V123" s="110"/>
      <c r="W123" s="110"/>
      <c r="X123" s="110">
        <v>2351</v>
      </c>
      <c r="Y123" s="151">
        <f t="shared" si="11"/>
        <v>2706.0010000000002</v>
      </c>
      <c r="Z123" s="151">
        <f t="shared" si="10"/>
        <v>2995.543107</v>
      </c>
      <c r="AA123" s="151">
        <f t="shared" si="7"/>
        <v>3055.45396914</v>
      </c>
      <c r="AB123" s="151">
        <f t="shared" si="8"/>
        <v>3055</v>
      </c>
      <c r="AC123" s="168">
        <v>3055</v>
      </c>
    </row>
    <row r="124" spans="1:29">
      <c r="A124" s="8">
        <v>6122</v>
      </c>
      <c r="B124" s="9"/>
      <c r="C124" s="10" t="s">
        <v>236</v>
      </c>
      <c r="D124" s="7" t="s">
        <v>16</v>
      </c>
      <c r="E124" s="11" t="s">
        <v>17</v>
      </c>
      <c r="F124" s="20" t="s">
        <v>224</v>
      </c>
      <c r="G124" s="16" t="s">
        <v>19</v>
      </c>
      <c r="H124" s="14">
        <v>45255</v>
      </c>
      <c r="I124" s="14">
        <v>45986</v>
      </c>
      <c r="J124" s="15">
        <v>25</v>
      </c>
      <c r="K124" s="16">
        <v>2</v>
      </c>
      <c r="L124" s="79" t="s">
        <v>225</v>
      </c>
      <c r="M124" s="29" t="s">
        <v>238</v>
      </c>
      <c r="N124" s="36"/>
      <c r="O124" s="154">
        <v>3055</v>
      </c>
      <c r="P124" s="19"/>
      <c r="Q124" s="110"/>
      <c r="R124" s="110"/>
      <c r="S124" s="110"/>
      <c r="T124" s="110"/>
      <c r="U124" s="110"/>
      <c r="V124" s="110"/>
      <c r="W124" s="110"/>
      <c r="X124" s="110">
        <v>2351</v>
      </c>
      <c r="Y124" s="151">
        <f t="shared" si="11"/>
        <v>2706.0010000000002</v>
      </c>
      <c r="Z124" s="151">
        <f t="shared" si="10"/>
        <v>2995.543107</v>
      </c>
      <c r="AA124" s="151">
        <f t="shared" si="7"/>
        <v>3055.45396914</v>
      </c>
      <c r="AB124" s="151">
        <f t="shared" si="8"/>
        <v>3055</v>
      </c>
      <c r="AC124" s="168">
        <v>3055</v>
      </c>
    </row>
    <row r="125" spans="1:29">
      <c r="A125" s="8">
        <v>6123</v>
      </c>
      <c r="B125" s="9"/>
      <c r="C125" s="10" t="s">
        <v>239</v>
      </c>
      <c r="D125" s="7" t="s">
        <v>16</v>
      </c>
      <c r="E125" s="11" t="s">
        <v>17</v>
      </c>
      <c r="F125" s="20" t="s">
        <v>224</v>
      </c>
      <c r="G125" s="16" t="s">
        <v>19</v>
      </c>
      <c r="H125" s="14">
        <v>45255</v>
      </c>
      <c r="I125" s="14">
        <v>45986</v>
      </c>
      <c r="J125" s="15">
        <v>25</v>
      </c>
      <c r="K125" s="16">
        <v>2</v>
      </c>
      <c r="L125" s="79" t="s">
        <v>225</v>
      </c>
      <c r="M125" s="29" t="s">
        <v>235</v>
      </c>
      <c r="N125" s="36"/>
      <c r="O125" s="154">
        <v>3055</v>
      </c>
      <c r="P125" s="19"/>
      <c r="Q125" s="110"/>
      <c r="R125" s="110"/>
      <c r="S125" s="110"/>
      <c r="T125" s="110"/>
      <c r="U125" s="110"/>
      <c r="V125" s="110"/>
      <c r="W125" s="110"/>
      <c r="X125" s="110">
        <v>2351</v>
      </c>
      <c r="Y125" s="151">
        <f t="shared" si="11"/>
        <v>2706.0010000000002</v>
      </c>
      <c r="Z125" s="151">
        <f t="shared" si="10"/>
        <v>2995.543107</v>
      </c>
      <c r="AA125" s="151">
        <f t="shared" si="7"/>
        <v>3055.45396914</v>
      </c>
      <c r="AB125" s="151">
        <f t="shared" si="8"/>
        <v>3055</v>
      </c>
      <c r="AC125" s="168">
        <v>3055</v>
      </c>
    </row>
    <row r="126" spans="1:29">
      <c r="A126" s="8">
        <v>6124</v>
      </c>
      <c r="B126" s="9"/>
      <c r="C126" s="10" t="s">
        <v>239</v>
      </c>
      <c r="D126" s="7" t="s">
        <v>16</v>
      </c>
      <c r="E126" s="11" t="s">
        <v>17</v>
      </c>
      <c r="F126" s="20" t="s">
        <v>224</v>
      </c>
      <c r="G126" s="16" t="s">
        <v>19</v>
      </c>
      <c r="H126" s="14">
        <v>45255</v>
      </c>
      <c r="I126" s="14">
        <v>45986</v>
      </c>
      <c r="J126" s="15">
        <v>25</v>
      </c>
      <c r="K126" s="16">
        <v>2</v>
      </c>
      <c r="L126" s="79" t="s">
        <v>225</v>
      </c>
      <c r="M126" s="29" t="s">
        <v>234</v>
      </c>
      <c r="N126" s="36"/>
      <c r="O126" s="154">
        <v>3055</v>
      </c>
      <c r="P126" s="19"/>
      <c r="Q126" s="110"/>
      <c r="R126" s="110"/>
      <c r="S126" s="110"/>
      <c r="T126" s="110"/>
      <c r="U126" s="110"/>
      <c r="V126" s="110"/>
      <c r="W126" s="110"/>
      <c r="X126" s="110">
        <v>2351</v>
      </c>
      <c r="Y126" s="151">
        <f t="shared" si="11"/>
        <v>2706.0010000000002</v>
      </c>
      <c r="Z126" s="151">
        <f t="shared" si="10"/>
        <v>2995.543107</v>
      </c>
      <c r="AA126" s="151">
        <f t="shared" si="7"/>
        <v>3055.45396914</v>
      </c>
      <c r="AB126" s="151">
        <f t="shared" si="8"/>
        <v>3055</v>
      </c>
      <c r="AC126" s="168">
        <v>3055</v>
      </c>
    </row>
    <row r="127" spans="1:29">
      <c r="A127" s="8">
        <v>6125</v>
      </c>
      <c r="B127" s="9"/>
      <c r="C127" s="10" t="s">
        <v>239</v>
      </c>
      <c r="D127" s="7" t="s">
        <v>16</v>
      </c>
      <c r="E127" s="11" t="s">
        <v>17</v>
      </c>
      <c r="F127" s="20" t="s">
        <v>224</v>
      </c>
      <c r="G127" s="16" t="s">
        <v>19</v>
      </c>
      <c r="H127" s="14">
        <v>45255</v>
      </c>
      <c r="I127" s="14">
        <v>45986</v>
      </c>
      <c r="J127" s="15">
        <v>25</v>
      </c>
      <c r="K127" s="16">
        <v>2</v>
      </c>
      <c r="L127" s="79" t="s">
        <v>225</v>
      </c>
      <c r="M127" s="29" t="s">
        <v>235</v>
      </c>
      <c r="N127" s="36"/>
      <c r="O127" s="154">
        <v>3055</v>
      </c>
      <c r="P127" s="19"/>
      <c r="Q127" s="110"/>
      <c r="R127" s="110"/>
      <c r="S127" s="110"/>
      <c r="T127" s="110"/>
      <c r="U127" s="110"/>
      <c r="V127" s="110"/>
      <c r="W127" s="110"/>
      <c r="X127" s="110">
        <v>2351</v>
      </c>
      <c r="Y127" s="151">
        <f t="shared" si="11"/>
        <v>2706.0010000000002</v>
      </c>
      <c r="Z127" s="151">
        <f t="shared" si="10"/>
        <v>2995.543107</v>
      </c>
      <c r="AA127" s="151">
        <f t="shared" si="7"/>
        <v>3055.45396914</v>
      </c>
      <c r="AB127" s="151">
        <f t="shared" si="8"/>
        <v>3055</v>
      </c>
      <c r="AC127" s="168">
        <v>3055</v>
      </c>
    </row>
    <row r="128" spans="1:29">
      <c r="A128" s="8">
        <v>6126</v>
      </c>
      <c r="B128" s="9"/>
      <c r="C128" s="10" t="s">
        <v>240</v>
      </c>
      <c r="D128" s="7" t="s">
        <v>16</v>
      </c>
      <c r="E128" s="11" t="s">
        <v>17</v>
      </c>
      <c r="F128" s="20" t="s">
        <v>224</v>
      </c>
      <c r="G128" s="16" t="s">
        <v>19</v>
      </c>
      <c r="H128" s="14">
        <v>45255</v>
      </c>
      <c r="I128" s="14">
        <v>45986</v>
      </c>
      <c r="J128" s="15">
        <v>25</v>
      </c>
      <c r="K128" s="16">
        <v>2</v>
      </c>
      <c r="L128" s="74" t="s">
        <v>241</v>
      </c>
      <c r="M128" s="36" t="s">
        <v>242</v>
      </c>
      <c r="N128" s="36"/>
      <c r="O128" s="154">
        <v>3055</v>
      </c>
      <c r="P128" s="19"/>
      <c r="Q128" s="110"/>
      <c r="R128" s="110"/>
      <c r="S128" s="110"/>
      <c r="T128" s="110"/>
      <c r="U128" s="110"/>
      <c r="V128" s="110"/>
      <c r="W128" s="110"/>
      <c r="X128" s="110">
        <v>2351</v>
      </c>
      <c r="Y128" s="151">
        <f t="shared" si="11"/>
        <v>2706.0010000000002</v>
      </c>
      <c r="Z128" s="151">
        <f t="shared" si="10"/>
        <v>2995.543107</v>
      </c>
      <c r="AA128" s="151">
        <f t="shared" si="7"/>
        <v>3055.45396914</v>
      </c>
      <c r="AB128" s="151">
        <f t="shared" si="8"/>
        <v>3055</v>
      </c>
      <c r="AC128" s="168">
        <v>3055</v>
      </c>
    </row>
    <row r="129" spans="1:29">
      <c r="A129" s="8">
        <v>6127</v>
      </c>
      <c r="B129" s="9"/>
      <c r="C129" s="10" t="s">
        <v>243</v>
      </c>
      <c r="D129" s="7" t="s">
        <v>16</v>
      </c>
      <c r="E129" s="11" t="s">
        <v>17</v>
      </c>
      <c r="F129" s="20" t="s">
        <v>224</v>
      </c>
      <c r="G129" s="16" t="s">
        <v>19</v>
      </c>
      <c r="H129" s="14">
        <v>45255</v>
      </c>
      <c r="I129" s="14">
        <v>45986</v>
      </c>
      <c r="J129" s="15">
        <v>25</v>
      </c>
      <c r="K129" s="16">
        <v>2</v>
      </c>
      <c r="L129" s="79" t="s">
        <v>225</v>
      </c>
      <c r="M129" s="36" t="s">
        <v>242</v>
      </c>
      <c r="N129" s="36"/>
      <c r="O129" s="154">
        <v>3055</v>
      </c>
      <c r="P129" s="19"/>
      <c r="Q129" s="110"/>
      <c r="R129" s="110"/>
      <c r="S129" s="110"/>
      <c r="T129" s="110"/>
      <c r="U129" s="110"/>
      <c r="V129" s="110"/>
      <c r="W129" s="110"/>
      <c r="X129" s="110">
        <v>2351</v>
      </c>
      <c r="Y129" s="151">
        <f t="shared" si="11"/>
        <v>2706.0010000000002</v>
      </c>
      <c r="Z129" s="151">
        <f t="shared" si="10"/>
        <v>2995.543107</v>
      </c>
      <c r="AA129" s="151">
        <f t="shared" si="7"/>
        <v>3055.45396914</v>
      </c>
      <c r="AB129" s="151">
        <f t="shared" si="8"/>
        <v>3055</v>
      </c>
      <c r="AC129" s="168">
        <v>3055</v>
      </c>
    </row>
    <row r="130" spans="1:29">
      <c r="A130" s="8">
        <v>6128</v>
      </c>
      <c r="B130" s="9"/>
      <c r="C130" s="10" t="s">
        <v>244</v>
      </c>
      <c r="D130" s="7" t="s">
        <v>16</v>
      </c>
      <c r="E130" s="11" t="s">
        <v>17</v>
      </c>
      <c r="F130" s="20" t="s">
        <v>224</v>
      </c>
      <c r="G130" s="16" t="s">
        <v>19</v>
      </c>
      <c r="H130" s="14">
        <v>45986</v>
      </c>
      <c r="I130" s="14">
        <v>45986</v>
      </c>
      <c r="J130" s="15">
        <v>25</v>
      </c>
      <c r="K130" s="16">
        <v>2</v>
      </c>
      <c r="L130" s="79" t="s">
        <v>225</v>
      </c>
      <c r="M130" s="36" t="s">
        <v>242</v>
      </c>
      <c r="N130" s="36"/>
      <c r="O130" s="154">
        <v>3055</v>
      </c>
      <c r="P130" s="19"/>
      <c r="Q130" s="110"/>
      <c r="R130" s="110"/>
      <c r="S130" s="110"/>
      <c r="T130" s="110"/>
      <c r="U130" s="110"/>
      <c r="V130" s="110"/>
      <c r="W130" s="110"/>
      <c r="X130" s="110">
        <v>2351</v>
      </c>
      <c r="Y130" s="151">
        <f t="shared" si="11"/>
        <v>2706.0010000000002</v>
      </c>
      <c r="Z130" s="151">
        <f t="shared" si="10"/>
        <v>2995.543107</v>
      </c>
      <c r="AA130" s="151">
        <f t="shared" ref="AA130:AA193" si="12">+Z130*(1+$Y$3)</f>
        <v>3055.45396914</v>
      </c>
      <c r="AB130" s="151">
        <f t="shared" ref="AB130:AB193" si="13">ROUND(AA130,0)</f>
        <v>3055</v>
      </c>
      <c r="AC130" s="168">
        <v>3055</v>
      </c>
    </row>
    <row r="131" spans="1:29">
      <c r="A131" s="8">
        <v>6129</v>
      </c>
      <c r="B131" s="9"/>
      <c r="C131" s="10" t="s">
        <v>245</v>
      </c>
      <c r="D131" s="7" t="s">
        <v>16</v>
      </c>
      <c r="E131" s="11" t="s">
        <v>17</v>
      </c>
      <c r="F131" s="20" t="s">
        <v>224</v>
      </c>
      <c r="G131" s="16" t="s">
        <v>19</v>
      </c>
      <c r="H131" s="14">
        <v>45255</v>
      </c>
      <c r="I131" s="14">
        <v>45986</v>
      </c>
      <c r="J131" s="15">
        <v>25</v>
      </c>
      <c r="K131" s="16">
        <v>2</v>
      </c>
      <c r="L131" s="79" t="s">
        <v>225</v>
      </c>
      <c r="M131" s="36" t="s">
        <v>242</v>
      </c>
      <c r="N131" s="36"/>
      <c r="O131" s="154">
        <v>3055</v>
      </c>
      <c r="P131" s="19"/>
      <c r="Q131" s="110"/>
      <c r="R131" s="110"/>
      <c r="S131" s="110"/>
      <c r="T131" s="110"/>
      <c r="U131" s="110"/>
      <c r="V131" s="110"/>
      <c r="W131" s="110"/>
      <c r="X131" s="110">
        <v>2351</v>
      </c>
      <c r="Y131" s="151">
        <f t="shared" si="11"/>
        <v>2706.0010000000002</v>
      </c>
      <c r="Z131" s="151">
        <f t="shared" si="10"/>
        <v>2995.543107</v>
      </c>
      <c r="AA131" s="151">
        <f t="shared" si="12"/>
        <v>3055.45396914</v>
      </c>
      <c r="AB131" s="151">
        <f t="shared" si="13"/>
        <v>3055</v>
      </c>
      <c r="AC131" s="168">
        <v>3055</v>
      </c>
    </row>
    <row r="132" spans="1:29">
      <c r="A132" s="8">
        <v>6130</v>
      </c>
      <c r="B132" s="9"/>
      <c r="C132" s="10" t="s">
        <v>246</v>
      </c>
      <c r="D132" s="7" t="s">
        <v>16</v>
      </c>
      <c r="E132" s="11" t="s">
        <v>17</v>
      </c>
      <c r="F132" s="20" t="s">
        <v>224</v>
      </c>
      <c r="G132" s="16" t="s">
        <v>19</v>
      </c>
      <c r="H132" s="14">
        <v>45255</v>
      </c>
      <c r="I132" s="14">
        <v>45986</v>
      </c>
      <c r="J132" s="15">
        <v>25</v>
      </c>
      <c r="K132" s="16">
        <v>2</v>
      </c>
      <c r="L132" s="79" t="s">
        <v>225</v>
      </c>
      <c r="M132" s="36" t="s">
        <v>242</v>
      </c>
      <c r="N132" s="36"/>
      <c r="O132" s="154">
        <v>3055</v>
      </c>
      <c r="P132" s="19"/>
      <c r="Q132" s="110"/>
      <c r="R132" s="110"/>
      <c r="S132" s="110"/>
      <c r="T132" s="110"/>
      <c r="U132" s="110"/>
      <c r="V132" s="110"/>
      <c r="W132" s="110"/>
      <c r="X132" s="110">
        <v>2351</v>
      </c>
      <c r="Y132" s="151">
        <f t="shared" si="11"/>
        <v>2706.0010000000002</v>
      </c>
      <c r="Z132" s="151">
        <f t="shared" si="10"/>
        <v>2995.543107</v>
      </c>
      <c r="AA132" s="151">
        <f t="shared" si="12"/>
        <v>3055.45396914</v>
      </c>
      <c r="AB132" s="151">
        <f t="shared" si="13"/>
        <v>3055</v>
      </c>
      <c r="AC132" s="168">
        <v>3055</v>
      </c>
    </row>
    <row r="133" spans="1:29">
      <c r="A133" s="8">
        <v>6217</v>
      </c>
      <c r="B133" s="10" t="s">
        <v>45</v>
      </c>
      <c r="C133" s="9" t="s">
        <v>247</v>
      </c>
      <c r="D133" s="7" t="s">
        <v>16</v>
      </c>
      <c r="E133" s="11" t="s">
        <v>17</v>
      </c>
      <c r="F133" s="38"/>
      <c r="G133" s="13" t="s">
        <v>19</v>
      </c>
      <c r="H133" s="14">
        <v>45566</v>
      </c>
      <c r="I133" s="14">
        <v>45931</v>
      </c>
      <c r="J133" s="15">
        <v>25</v>
      </c>
      <c r="K133" s="16">
        <v>1</v>
      </c>
      <c r="L133" s="92">
        <v>0.05</v>
      </c>
      <c r="M133" s="29" t="s">
        <v>248</v>
      </c>
      <c r="N133" s="36"/>
      <c r="O133" s="163">
        <v>4689</v>
      </c>
      <c r="P133" s="19"/>
      <c r="Q133" s="110"/>
      <c r="R133" s="110"/>
      <c r="S133" s="110"/>
      <c r="T133" s="110"/>
      <c r="U133" s="110"/>
      <c r="V133" s="110"/>
      <c r="W133" s="110"/>
      <c r="X133" s="110"/>
      <c r="Y133" s="110">
        <v>4153</v>
      </c>
      <c r="Z133" s="151">
        <f t="shared" si="10"/>
        <v>4597.3710000000001</v>
      </c>
      <c r="AA133" s="151">
        <f t="shared" si="12"/>
        <v>4689.3184200000005</v>
      </c>
      <c r="AB133" s="151">
        <f t="shared" si="13"/>
        <v>4689</v>
      </c>
      <c r="AC133" s="168">
        <v>4689</v>
      </c>
    </row>
    <row r="134" spans="1:29">
      <c r="A134" s="8">
        <v>6255</v>
      </c>
      <c r="B134" s="9"/>
      <c r="C134" s="37" t="s">
        <v>209</v>
      </c>
      <c r="D134" s="7" t="s">
        <v>16</v>
      </c>
      <c r="E134" s="11" t="s">
        <v>17</v>
      </c>
      <c r="F134" s="20"/>
      <c r="G134" s="13" t="s">
        <v>19</v>
      </c>
      <c r="H134" s="14">
        <v>45245</v>
      </c>
      <c r="I134" s="14">
        <v>45976</v>
      </c>
      <c r="J134" s="15">
        <v>25</v>
      </c>
      <c r="K134" s="16">
        <v>2</v>
      </c>
      <c r="L134" s="91" t="s">
        <v>210</v>
      </c>
      <c r="M134" s="50" t="s">
        <v>211</v>
      </c>
      <c r="N134" s="91" t="s">
        <v>212</v>
      </c>
      <c r="O134" s="154">
        <v>3412</v>
      </c>
      <c r="P134" s="19"/>
      <c r="Q134" s="110"/>
      <c r="R134" s="110"/>
      <c r="S134" s="110"/>
      <c r="T134" s="110"/>
      <c r="U134" s="110"/>
      <c r="V134" s="110"/>
      <c r="W134" s="110"/>
      <c r="X134" s="110">
        <v>2625</v>
      </c>
      <c r="Y134" s="151">
        <f>+X134*(1+$W$3)</f>
        <v>3021.375</v>
      </c>
      <c r="Z134" s="151">
        <f t="shared" si="10"/>
        <v>3344.6621249999998</v>
      </c>
      <c r="AA134" s="151">
        <f t="shared" si="12"/>
        <v>3411.5553675000001</v>
      </c>
      <c r="AB134" s="151">
        <f t="shared" si="13"/>
        <v>3412</v>
      </c>
      <c r="AC134" s="168">
        <v>3412</v>
      </c>
    </row>
    <row r="135" spans="1:29">
      <c r="A135" s="8">
        <v>6278</v>
      </c>
      <c r="B135" s="9"/>
      <c r="C135" s="9" t="s">
        <v>98</v>
      </c>
      <c r="D135" s="7" t="s">
        <v>16</v>
      </c>
      <c r="E135" s="11" t="s">
        <v>17</v>
      </c>
      <c r="F135" s="23"/>
      <c r="G135" s="16" t="s">
        <v>19</v>
      </c>
      <c r="H135" s="14">
        <v>45062</v>
      </c>
      <c r="I135" s="14">
        <v>45793</v>
      </c>
      <c r="J135" s="15">
        <v>25</v>
      </c>
      <c r="K135" s="16">
        <v>2</v>
      </c>
      <c r="L135" s="29" t="s">
        <v>99</v>
      </c>
      <c r="M135" s="36" t="s">
        <v>100</v>
      </c>
      <c r="N135" s="36" t="s">
        <v>68</v>
      </c>
      <c r="O135" s="154">
        <v>402</v>
      </c>
      <c r="P135" s="19"/>
      <c r="Q135" s="110"/>
      <c r="R135" s="110"/>
      <c r="S135" s="110"/>
      <c r="T135" s="110"/>
      <c r="U135" s="110"/>
      <c r="V135" s="110"/>
      <c r="W135" s="110"/>
      <c r="X135" s="110">
        <v>309</v>
      </c>
      <c r="Y135" s="151">
        <f t="shared" ref="Y135:Y158" si="14">+X135*(1+$W$3)</f>
        <v>355.65899999999999</v>
      </c>
      <c r="Z135" s="151">
        <f t="shared" si="10"/>
        <v>393.71451300000001</v>
      </c>
      <c r="AA135" s="151">
        <f t="shared" si="12"/>
        <v>401.58880326000002</v>
      </c>
      <c r="AB135" s="151">
        <f t="shared" si="13"/>
        <v>402</v>
      </c>
      <c r="AC135" s="168">
        <v>402</v>
      </c>
    </row>
    <row r="136" spans="1:29">
      <c r="A136" s="8">
        <v>6279</v>
      </c>
      <c r="B136" s="9"/>
      <c r="C136" s="9" t="s">
        <v>98</v>
      </c>
      <c r="D136" s="7" t="s">
        <v>16</v>
      </c>
      <c r="E136" s="11" t="s">
        <v>17</v>
      </c>
      <c r="F136" s="23"/>
      <c r="G136" s="16" t="s">
        <v>19</v>
      </c>
      <c r="H136" s="14">
        <v>45062</v>
      </c>
      <c r="I136" s="14">
        <v>45793</v>
      </c>
      <c r="J136" s="15">
        <v>25</v>
      </c>
      <c r="K136" s="16">
        <v>2</v>
      </c>
      <c r="L136" s="29" t="s">
        <v>99</v>
      </c>
      <c r="M136" s="36" t="s">
        <v>100</v>
      </c>
      <c r="N136" s="36" t="s">
        <v>68</v>
      </c>
      <c r="O136" s="154">
        <v>402</v>
      </c>
      <c r="P136" s="19"/>
      <c r="Q136" s="110"/>
      <c r="R136" s="110"/>
      <c r="S136" s="110"/>
      <c r="T136" s="110"/>
      <c r="U136" s="110"/>
      <c r="V136" s="110"/>
      <c r="W136" s="110"/>
      <c r="X136" s="110">
        <v>309</v>
      </c>
      <c r="Y136" s="151">
        <f t="shared" si="14"/>
        <v>355.65899999999999</v>
      </c>
      <c r="Z136" s="151">
        <f t="shared" si="10"/>
        <v>393.71451300000001</v>
      </c>
      <c r="AA136" s="151">
        <f t="shared" si="12"/>
        <v>401.58880326000002</v>
      </c>
      <c r="AB136" s="151">
        <f t="shared" si="13"/>
        <v>402</v>
      </c>
      <c r="AC136" s="168">
        <v>402</v>
      </c>
    </row>
    <row r="137" spans="1:29">
      <c r="A137" s="8">
        <v>6377</v>
      </c>
      <c r="B137" s="9"/>
      <c r="C137" s="10" t="s">
        <v>249</v>
      </c>
      <c r="D137" s="7" t="s">
        <v>16</v>
      </c>
      <c r="E137" s="11" t="s">
        <v>17</v>
      </c>
      <c r="F137" s="23"/>
      <c r="G137" s="27" t="s">
        <v>19</v>
      </c>
      <c r="H137" s="14">
        <v>45034</v>
      </c>
      <c r="I137" s="25">
        <v>45765</v>
      </c>
      <c r="J137" s="15">
        <v>25</v>
      </c>
      <c r="K137" s="16">
        <v>2</v>
      </c>
      <c r="L137" s="36" t="s">
        <v>250</v>
      </c>
      <c r="M137" s="36" t="s">
        <v>251</v>
      </c>
      <c r="N137" s="36" t="s">
        <v>252</v>
      </c>
      <c r="O137" s="154">
        <v>1446</v>
      </c>
      <c r="P137" s="19"/>
      <c r="Q137" s="110"/>
      <c r="R137" s="110"/>
      <c r="S137" s="110"/>
      <c r="T137" s="110"/>
      <c r="U137" s="110"/>
      <c r="V137" s="110"/>
      <c r="W137" s="110"/>
      <c r="X137" s="110">
        <v>1113</v>
      </c>
      <c r="Y137" s="151">
        <f t="shared" si="14"/>
        <v>1281.0630000000001</v>
      </c>
      <c r="Z137" s="151">
        <f t="shared" si="10"/>
        <v>1418.136741</v>
      </c>
      <c r="AA137" s="151">
        <f t="shared" si="12"/>
        <v>1446.49947582</v>
      </c>
      <c r="AB137" s="151">
        <f t="shared" si="13"/>
        <v>1446</v>
      </c>
      <c r="AC137" s="168">
        <v>1446</v>
      </c>
    </row>
    <row r="138" spans="1:29">
      <c r="A138" s="8">
        <v>6378</v>
      </c>
      <c r="B138" s="9"/>
      <c r="C138" s="10" t="s">
        <v>249</v>
      </c>
      <c r="D138" s="7" t="s">
        <v>16</v>
      </c>
      <c r="E138" s="11" t="s">
        <v>17</v>
      </c>
      <c r="F138" s="23"/>
      <c r="G138" s="27" t="s">
        <v>19</v>
      </c>
      <c r="H138" s="14">
        <v>45033</v>
      </c>
      <c r="I138" s="25">
        <v>45764</v>
      </c>
      <c r="J138" s="15">
        <v>25</v>
      </c>
      <c r="K138" s="16">
        <v>2</v>
      </c>
      <c r="L138" s="36" t="s">
        <v>250</v>
      </c>
      <c r="M138" s="36" t="s">
        <v>251</v>
      </c>
      <c r="N138" s="36" t="s">
        <v>252</v>
      </c>
      <c r="O138" s="154">
        <v>1446</v>
      </c>
      <c r="P138" s="19"/>
      <c r="Q138" s="110"/>
      <c r="R138" s="110"/>
      <c r="S138" s="110"/>
      <c r="T138" s="110"/>
      <c r="U138" s="110"/>
      <c r="V138" s="110"/>
      <c r="W138" s="110"/>
      <c r="X138" s="110">
        <v>1113</v>
      </c>
      <c r="Y138" s="151">
        <f t="shared" si="14"/>
        <v>1281.0630000000001</v>
      </c>
      <c r="Z138" s="151">
        <f t="shared" si="10"/>
        <v>1418.136741</v>
      </c>
      <c r="AA138" s="151">
        <f t="shared" si="12"/>
        <v>1446.49947582</v>
      </c>
      <c r="AB138" s="151">
        <f t="shared" si="13"/>
        <v>1446</v>
      </c>
      <c r="AC138" s="168">
        <v>1446</v>
      </c>
    </row>
    <row r="139" spans="1:29">
      <c r="A139" s="8">
        <v>6379</v>
      </c>
      <c r="B139" s="9"/>
      <c r="C139" s="9" t="s">
        <v>249</v>
      </c>
      <c r="D139" s="7" t="s">
        <v>16</v>
      </c>
      <c r="E139" s="11" t="s">
        <v>17</v>
      </c>
      <c r="F139" s="23"/>
      <c r="G139" s="27" t="s">
        <v>19</v>
      </c>
      <c r="H139" s="14">
        <v>45033</v>
      </c>
      <c r="I139" s="25">
        <v>45764</v>
      </c>
      <c r="J139" s="15">
        <v>25</v>
      </c>
      <c r="K139" s="16">
        <v>2</v>
      </c>
      <c r="L139" s="36" t="s">
        <v>253</v>
      </c>
      <c r="M139" s="36" t="s">
        <v>254</v>
      </c>
      <c r="N139" s="49" t="s">
        <v>255</v>
      </c>
      <c r="O139" s="154">
        <v>1446</v>
      </c>
      <c r="P139" s="19"/>
      <c r="Q139" s="110"/>
      <c r="R139" s="110"/>
      <c r="S139" s="110"/>
      <c r="T139" s="110"/>
      <c r="U139" s="110"/>
      <c r="V139" s="110"/>
      <c r="W139" s="110"/>
      <c r="X139" s="110">
        <v>1113</v>
      </c>
      <c r="Y139" s="151">
        <f t="shared" si="14"/>
        <v>1281.0630000000001</v>
      </c>
      <c r="Z139" s="151">
        <f t="shared" si="10"/>
        <v>1418.136741</v>
      </c>
      <c r="AA139" s="151">
        <f t="shared" si="12"/>
        <v>1446.49947582</v>
      </c>
      <c r="AB139" s="151">
        <f t="shared" si="13"/>
        <v>1446</v>
      </c>
      <c r="AC139" s="168">
        <v>1446</v>
      </c>
    </row>
    <row r="140" spans="1:29">
      <c r="A140" s="8">
        <v>6380</v>
      </c>
      <c r="B140" s="9"/>
      <c r="C140" s="9" t="s">
        <v>249</v>
      </c>
      <c r="D140" s="7" t="s">
        <v>16</v>
      </c>
      <c r="E140" s="11" t="s">
        <v>17</v>
      </c>
      <c r="F140" s="23"/>
      <c r="G140" s="27" t="s">
        <v>19</v>
      </c>
      <c r="H140" s="14">
        <v>45034</v>
      </c>
      <c r="I140" s="25">
        <v>45765</v>
      </c>
      <c r="J140" s="15">
        <v>25</v>
      </c>
      <c r="K140" s="16">
        <v>2</v>
      </c>
      <c r="L140" s="36" t="s">
        <v>253</v>
      </c>
      <c r="M140" s="36" t="s">
        <v>254</v>
      </c>
      <c r="N140" s="49" t="s">
        <v>255</v>
      </c>
      <c r="O140" s="154">
        <v>1446</v>
      </c>
      <c r="P140" s="19"/>
      <c r="Q140" s="110"/>
      <c r="R140" s="110"/>
      <c r="S140" s="110"/>
      <c r="T140" s="110"/>
      <c r="U140" s="110"/>
      <c r="V140" s="110"/>
      <c r="W140" s="110"/>
      <c r="X140" s="110">
        <v>1113</v>
      </c>
      <c r="Y140" s="151">
        <f t="shared" si="14"/>
        <v>1281.0630000000001</v>
      </c>
      <c r="Z140" s="151">
        <f t="shared" si="10"/>
        <v>1418.136741</v>
      </c>
      <c r="AA140" s="151">
        <f t="shared" si="12"/>
        <v>1446.49947582</v>
      </c>
      <c r="AB140" s="151">
        <f t="shared" si="13"/>
        <v>1446</v>
      </c>
      <c r="AC140" s="168">
        <v>1446</v>
      </c>
    </row>
    <row r="141" spans="1:29">
      <c r="A141" s="8">
        <v>6396</v>
      </c>
      <c r="B141" s="9"/>
      <c r="C141" s="9" t="s">
        <v>34</v>
      </c>
      <c r="D141" s="7" t="s">
        <v>16</v>
      </c>
      <c r="E141" s="11" t="s">
        <v>17</v>
      </c>
      <c r="F141" s="23"/>
      <c r="G141" s="27" t="s">
        <v>19</v>
      </c>
      <c r="H141" s="25">
        <v>45033</v>
      </c>
      <c r="I141" s="14">
        <v>45764</v>
      </c>
      <c r="J141" s="15">
        <v>25</v>
      </c>
      <c r="K141" s="21">
        <v>2</v>
      </c>
      <c r="L141" s="36" t="s">
        <v>256</v>
      </c>
      <c r="M141" s="50" t="s">
        <v>257</v>
      </c>
      <c r="N141" s="36" t="s">
        <v>258</v>
      </c>
      <c r="O141" s="154">
        <v>1664</v>
      </c>
      <c r="P141" s="19"/>
      <c r="Q141" s="110"/>
      <c r="R141" s="110"/>
      <c r="S141" s="110"/>
      <c r="T141" s="110"/>
      <c r="U141" s="110"/>
      <c r="V141" s="110"/>
      <c r="W141" s="110"/>
      <c r="X141" s="110">
        <v>1280</v>
      </c>
      <c r="Y141" s="151">
        <f t="shared" si="14"/>
        <v>1473.28</v>
      </c>
      <c r="Z141" s="151">
        <f t="shared" si="10"/>
        <v>1630.9209599999999</v>
      </c>
      <c r="AA141" s="151">
        <f t="shared" si="12"/>
        <v>1663.5393792</v>
      </c>
      <c r="AB141" s="151">
        <f t="shared" si="13"/>
        <v>1664</v>
      </c>
      <c r="AC141" s="168">
        <v>1664</v>
      </c>
    </row>
    <row r="142" spans="1:29">
      <c r="A142" s="8">
        <v>6458</v>
      </c>
      <c r="B142" s="9"/>
      <c r="C142" s="9" t="s">
        <v>259</v>
      </c>
      <c r="D142" s="7" t="s">
        <v>16</v>
      </c>
      <c r="E142" s="11" t="s">
        <v>17</v>
      </c>
      <c r="F142" s="20"/>
      <c r="G142" s="13" t="s">
        <v>19</v>
      </c>
      <c r="H142" s="14">
        <v>45042</v>
      </c>
      <c r="I142" s="25">
        <v>45773</v>
      </c>
      <c r="J142" s="15">
        <v>25</v>
      </c>
      <c r="K142" s="16">
        <v>2</v>
      </c>
      <c r="L142" s="36" t="s">
        <v>260</v>
      </c>
      <c r="M142" s="57"/>
      <c r="N142" s="32"/>
      <c r="O142" s="159">
        <v>24162</v>
      </c>
      <c r="P142" s="19"/>
      <c r="Q142" s="110"/>
      <c r="R142" s="110"/>
      <c r="S142" s="110"/>
      <c r="T142" s="110"/>
      <c r="U142" s="110"/>
      <c r="V142" s="110"/>
      <c r="W142" s="110">
        <v>17911</v>
      </c>
      <c r="X142" s="151">
        <f>+W142*(1+$V$3)</f>
        <v>18591.618000000002</v>
      </c>
      <c r="Y142" s="151">
        <f t="shared" si="14"/>
        <v>21398.952318000003</v>
      </c>
      <c r="Z142" s="151">
        <f t="shared" si="10"/>
        <v>23688.640216026004</v>
      </c>
      <c r="AA142" s="151">
        <f t="shared" si="12"/>
        <v>24162.413020346525</v>
      </c>
      <c r="AB142" s="151">
        <f t="shared" si="13"/>
        <v>24162</v>
      </c>
      <c r="AC142" s="168">
        <v>24162</v>
      </c>
    </row>
    <row r="143" spans="1:29">
      <c r="A143" s="8">
        <v>6520</v>
      </c>
      <c r="B143" s="10" t="s">
        <v>45</v>
      </c>
      <c r="C143" s="9" t="s">
        <v>34</v>
      </c>
      <c r="D143" s="7" t="s">
        <v>16</v>
      </c>
      <c r="E143" s="11" t="s">
        <v>17</v>
      </c>
      <c r="F143" s="23" t="s">
        <v>203</v>
      </c>
      <c r="G143" s="27" t="s">
        <v>19</v>
      </c>
      <c r="H143" s="14">
        <v>45033</v>
      </c>
      <c r="I143" s="25">
        <v>45764</v>
      </c>
      <c r="J143" s="15">
        <v>25</v>
      </c>
      <c r="K143" s="77">
        <v>2</v>
      </c>
      <c r="L143" s="29" t="s">
        <v>201</v>
      </c>
      <c r="M143" s="41" t="s">
        <v>261</v>
      </c>
      <c r="N143" s="49" t="s">
        <v>201</v>
      </c>
      <c r="O143" s="159">
        <v>1094</v>
      </c>
      <c r="P143" s="19"/>
      <c r="Q143" s="110"/>
      <c r="R143" s="110"/>
      <c r="S143" s="110"/>
      <c r="T143" s="110"/>
      <c r="U143" s="110"/>
      <c r="V143" s="110"/>
      <c r="W143" s="110"/>
      <c r="X143" s="110">
        <v>842</v>
      </c>
      <c r="Y143" s="151">
        <f t="shared" si="14"/>
        <v>969.14200000000005</v>
      </c>
      <c r="Z143" s="151">
        <f t="shared" si="10"/>
        <v>1072.8401940000001</v>
      </c>
      <c r="AA143" s="151">
        <f t="shared" si="12"/>
        <v>1094.2969978800002</v>
      </c>
      <c r="AB143" s="151">
        <f t="shared" si="13"/>
        <v>1094</v>
      </c>
      <c r="AC143" s="168">
        <v>1094</v>
      </c>
    </row>
    <row r="144" spans="1:29">
      <c r="A144" s="8">
        <v>6522</v>
      </c>
      <c r="B144" s="10" t="s">
        <v>45</v>
      </c>
      <c r="C144" s="9" t="s">
        <v>34</v>
      </c>
      <c r="D144" s="7" t="s">
        <v>16</v>
      </c>
      <c r="E144" s="11" t="s">
        <v>17</v>
      </c>
      <c r="F144" s="23"/>
      <c r="G144" s="27" t="s">
        <v>19</v>
      </c>
      <c r="H144" s="14">
        <v>45034</v>
      </c>
      <c r="I144" s="25">
        <v>45765</v>
      </c>
      <c r="J144" s="15">
        <v>25</v>
      </c>
      <c r="K144" s="77">
        <v>2</v>
      </c>
      <c r="L144" s="29" t="s">
        <v>262</v>
      </c>
      <c r="M144" s="36" t="s">
        <v>263</v>
      </c>
      <c r="N144" s="36" t="s">
        <v>262</v>
      </c>
      <c r="O144" s="159">
        <v>1094</v>
      </c>
      <c r="P144" s="19"/>
      <c r="Q144" s="110"/>
      <c r="R144" s="110"/>
      <c r="S144" s="110"/>
      <c r="T144" s="110"/>
      <c r="U144" s="110"/>
      <c r="V144" s="110"/>
      <c r="W144" s="110"/>
      <c r="X144" s="110">
        <v>842</v>
      </c>
      <c r="Y144" s="151">
        <f t="shared" si="14"/>
        <v>969.14200000000005</v>
      </c>
      <c r="Z144" s="151">
        <f t="shared" si="10"/>
        <v>1072.8401940000001</v>
      </c>
      <c r="AA144" s="151">
        <f t="shared" si="12"/>
        <v>1094.2969978800002</v>
      </c>
      <c r="AB144" s="151">
        <f t="shared" si="13"/>
        <v>1094</v>
      </c>
      <c r="AC144" s="168">
        <v>1094</v>
      </c>
    </row>
    <row r="145" spans="1:29">
      <c r="A145" s="8">
        <v>6528</v>
      </c>
      <c r="B145" s="9"/>
      <c r="C145" s="9" t="s">
        <v>264</v>
      </c>
      <c r="D145" s="7" t="s">
        <v>16</v>
      </c>
      <c r="E145" s="11" t="s">
        <v>17</v>
      </c>
      <c r="F145" s="20"/>
      <c r="G145" s="13" t="s">
        <v>19</v>
      </c>
      <c r="H145" s="25">
        <v>45097</v>
      </c>
      <c r="I145" s="25">
        <v>45828</v>
      </c>
      <c r="J145" s="15">
        <v>25</v>
      </c>
      <c r="K145" s="16">
        <v>2</v>
      </c>
      <c r="L145" s="61">
        <v>0.01</v>
      </c>
      <c r="M145" s="36" t="s">
        <v>265</v>
      </c>
      <c r="N145" s="93" t="s">
        <v>266</v>
      </c>
      <c r="O145" s="154">
        <v>2369</v>
      </c>
      <c r="P145" s="19"/>
      <c r="Q145" s="110"/>
      <c r="R145" s="110"/>
      <c r="S145" s="110"/>
      <c r="T145" s="110"/>
      <c r="U145" s="110"/>
      <c r="V145" s="110"/>
      <c r="W145" s="110"/>
      <c r="X145" s="110">
        <v>1823</v>
      </c>
      <c r="Y145" s="151">
        <f t="shared" si="14"/>
        <v>2098.2730000000001</v>
      </c>
      <c r="Z145" s="151">
        <f t="shared" si="10"/>
        <v>2322.788211</v>
      </c>
      <c r="AA145" s="151">
        <f t="shared" si="12"/>
        <v>2369.2439752200003</v>
      </c>
      <c r="AB145" s="151">
        <f t="shared" si="13"/>
        <v>2369</v>
      </c>
      <c r="AC145" s="168">
        <v>2369</v>
      </c>
    </row>
    <row r="146" spans="1:29">
      <c r="A146" s="8">
        <v>6572</v>
      </c>
      <c r="B146" s="9"/>
      <c r="C146" s="9" t="s">
        <v>267</v>
      </c>
      <c r="D146" s="7" t="s">
        <v>16</v>
      </c>
      <c r="E146" s="11" t="s">
        <v>17</v>
      </c>
      <c r="F146" s="23"/>
      <c r="G146" s="27" t="s">
        <v>19</v>
      </c>
      <c r="H146" s="14">
        <v>45033</v>
      </c>
      <c r="I146" s="25">
        <v>45764</v>
      </c>
      <c r="J146" s="15">
        <v>25</v>
      </c>
      <c r="K146" s="16">
        <v>2</v>
      </c>
      <c r="L146" s="41" t="s">
        <v>256</v>
      </c>
      <c r="M146" s="89" t="s">
        <v>268</v>
      </c>
      <c r="N146" s="41" t="s">
        <v>82</v>
      </c>
      <c r="O146" s="159">
        <v>2768</v>
      </c>
      <c r="P146" s="19"/>
      <c r="Q146" s="110"/>
      <c r="R146" s="110"/>
      <c r="S146" s="110"/>
      <c r="T146" s="110"/>
      <c r="U146" s="110"/>
      <c r="V146" s="110"/>
      <c r="W146" s="110"/>
      <c r="X146" s="110">
        <v>2130</v>
      </c>
      <c r="Y146" s="151">
        <f t="shared" si="14"/>
        <v>2451.63</v>
      </c>
      <c r="Z146" s="151">
        <f t="shared" ref="Z146:Z207" si="15">+Y146*(1+$X$3)</f>
        <v>2713.9544100000003</v>
      </c>
      <c r="AA146" s="151">
        <f t="shared" si="12"/>
        <v>2768.2334982000002</v>
      </c>
      <c r="AB146" s="151">
        <f t="shared" si="13"/>
        <v>2768</v>
      </c>
      <c r="AC146" s="168">
        <v>2768</v>
      </c>
    </row>
    <row r="147" spans="1:29">
      <c r="A147" s="8">
        <v>6575</v>
      </c>
      <c r="B147" s="9"/>
      <c r="C147" s="9" t="s">
        <v>34</v>
      </c>
      <c r="D147" s="7" t="s">
        <v>16</v>
      </c>
      <c r="E147" s="11" t="s">
        <v>17</v>
      </c>
      <c r="F147" s="23"/>
      <c r="G147" s="27" t="s">
        <v>19</v>
      </c>
      <c r="H147" s="14">
        <v>45034</v>
      </c>
      <c r="I147" s="25">
        <v>45765</v>
      </c>
      <c r="J147" s="15">
        <v>25</v>
      </c>
      <c r="K147" s="16">
        <v>2</v>
      </c>
      <c r="L147" s="28" t="s">
        <v>269</v>
      </c>
      <c r="M147" s="89" t="s">
        <v>270</v>
      </c>
      <c r="N147" s="41" t="s">
        <v>271</v>
      </c>
      <c r="O147" s="159">
        <v>1094</v>
      </c>
      <c r="P147" s="19"/>
      <c r="Q147" s="110"/>
      <c r="R147" s="110"/>
      <c r="S147" s="110"/>
      <c r="T147" s="110"/>
      <c r="U147" s="110"/>
      <c r="V147" s="110"/>
      <c r="W147" s="110"/>
      <c r="X147" s="110">
        <v>842</v>
      </c>
      <c r="Y147" s="151">
        <f t="shared" si="14"/>
        <v>969.14200000000005</v>
      </c>
      <c r="Z147" s="151">
        <f t="shared" si="15"/>
        <v>1072.8401940000001</v>
      </c>
      <c r="AA147" s="151">
        <f t="shared" si="12"/>
        <v>1094.2969978800002</v>
      </c>
      <c r="AB147" s="151">
        <f t="shared" si="13"/>
        <v>1094</v>
      </c>
      <c r="AC147" s="168">
        <v>1094</v>
      </c>
    </row>
    <row r="148" spans="1:29">
      <c r="A148" s="8">
        <v>6583</v>
      </c>
      <c r="B148" s="9"/>
      <c r="C148" s="9" t="s">
        <v>272</v>
      </c>
      <c r="D148" s="7" t="s">
        <v>16</v>
      </c>
      <c r="E148" s="11" t="s">
        <v>17</v>
      </c>
      <c r="F148" s="20"/>
      <c r="G148" s="16" t="s">
        <v>19</v>
      </c>
      <c r="H148" s="14">
        <v>45216</v>
      </c>
      <c r="I148" s="14">
        <v>45947</v>
      </c>
      <c r="J148" s="15">
        <v>25</v>
      </c>
      <c r="K148" s="13">
        <v>2</v>
      </c>
      <c r="L148" s="79" t="s">
        <v>22</v>
      </c>
      <c r="M148" s="94" t="s">
        <v>273</v>
      </c>
      <c r="N148" s="79" t="s">
        <v>274</v>
      </c>
      <c r="O148" s="159">
        <v>3318</v>
      </c>
      <c r="P148" s="19"/>
      <c r="Q148" s="110"/>
      <c r="R148" s="110"/>
      <c r="S148" s="110"/>
      <c r="T148" s="110"/>
      <c r="U148" s="110"/>
      <c r="V148" s="110"/>
      <c r="W148" s="110"/>
      <c r="X148" s="110">
        <v>2553</v>
      </c>
      <c r="Y148" s="151">
        <f t="shared" si="14"/>
        <v>2938.5030000000002</v>
      </c>
      <c r="Z148" s="151">
        <f t="shared" si="15"/>
        <v>3252.9228210000001</v>
      </c>
      <c r="AA148" s="151">
        <f t="shared" si="12"/>
        <v>3317.98127742</v>
      </c>
      <c r="AB148" s="151">
        <f t="shared" si="13"/>
        <v>3318</v>
      </c>
      <c r="AC148" s="168">
        <v>3318</v>
      </c>
    </row>
    <row r="149" spans="1:29">
      <c r="A149" s="8">
        <v>6598</v>
      </c>
      <c r="B149" s="10" t="s">
        <v>45</v>
      </c>
      <c r="C149" s="9" t="s">
        <v>275</v>
      </c>
      <c r="D149" s="7" t="s">
        <v>16</v>
      </c>
      <c r="E149" s="11" t="s">
        <v>17</v>
      </c>
      <c r="F149" s="23"/>
      <c r="G149" s="27" t="s">
        <v>19</v>
      </c>
      <c r="H149" s="14">
        <v>45033</v>
      </c>
      <c r="I149" s="25">
        <v>45764</v>
      </c>
      <c r="J149" s="15">
        <v>25</v>
      </c>
      <c r="K149" s="77">
        <v>2</v>
      </c>
      <c r="L149" s="95" t="s">
        <v>276</v>
      </c>
      <c r="M149" s="36" t="s">
        <v>277</v>
      </c>
      <c r="N149" s="36" t="s">
        <v>258</v>
      </c>
      <c r="O149" s="159">
        <v>2768</v>
      </c>
      <c r="P149" s="19"/>
      <c r="Q149" s="110"/>
      <c r="R149" s="110"/>
      <c r="S149" s="110"/>
      <c r="T149" s="110"/>
      <c r="U149" s="110"/>
      <c r="V149" s="110"/>
      <c r="W149" s="110"/>
      <c r="X149" s="110">
        <v>2130</v>
      </c>
      <c r="Y149" s="151">
        <f t="shared" si="14"/>
        <v>2451.63</v>
      </c>
      <c r="Z149" s="151">
        <f t="shared" si="15"/>
        <v>2713.9544100000003</v>
      </c>
      <c r="AA149" s="151">
        <f t="shared" si="12"/>
        <v>2768.2334982000002</v>
      </c>
      <c r="AB149" s="151">
        <f t="shared" si="13"/>
        <v>2768</v>
      </c>
      <c r="AC149" s="168">
        <v>2768</v>
      </c>
    </row>
    <row r="150" spans="1:29">
      <c r="A150" s="8">
        <v>6662</v>
      </c>
      <c r="B150" s="9"/>
      <c r="C150" s="9" t="s">
        <v>278</v>
      </c>
      <c r="D150" s="7" t="s">
        <v>16</v>
      </c>
      <c r="E150" s="11" t="s">
        <v>17</v>
      </c>
      <c r="F150" s="20"/>
      <c r="G150" s="13" t="s">
        <v>19</v>
      </c>
      <c r="H150" s="14">
        <v>45250</v>
      </c>
      <c r="I150" s="25">
        <v>45981</v>
      </c>
      <c r="J150" s="15">
        <v>25</v>
      </c>
      <c r="K150" s="16">
        <v>2</v>
      </c>
      <c r="L150" s="18" t="s">
        <v>279</v>
      </c>
      <c r="M150" s="50"/>
      <c r="N150" s="69"/>
      <c r="O150" s="157">
        <v>5426</v>
      </c>
      <c r="P150" s="19"/>
      <c r="Q150" s="110"/>
      <c r="R150" s="110"/>
      <c r="S150" s="110"/>
      <c r="T150" s="110"/>
      <c r="U150" s="110"/>
      <c r="V150" s="110"/>
      <c r="W150" s="110"/>
      <c r="X150" s="110">
        <v>4175</v>
      </c>
      <c r="Y150" s="151">
        <f t="shared" si="14"/>
        <v>4805.4250000000002</v>
      </c>
      <c r="Z150" s="151">
        <f t="shared" si="15"/>
        <v>5319.6054750000003</v>
      </c>
      <c r="AA150" s="151">
        <f t="shared" si="12"/>
        <v>5425.9975845000008</v>
      </c>
      <c r="AB150" s="151">
        <f t="shared" si="13"/>
        <v>5426</v>
      </c>
      <c r="AC150" s="168">
        <v>5426</v>
      </c>
    </row>
    <row r="151" spans="1:29">
      <c r="A151" s="8">
        <v>6663</v>
      </c>
      <c r="B151" s="9"/>
      <c r="C151" s="9" t="s">
        <v>280</v>
      </c>
      <c r="D151" s="7" t="s">
        <v>16</v>
      </c>
      <c r="E151" s="11" t="s">
        <v>17</v>
      </c>
      <c r="F151" s="20"/>
      <c r="G151" s="13" t="s">
        <v>19</v>
      </c>
      <c r="H151" s="14">
        <v>45250</v>
      </c>
      <c r="I151" s="25">
        <v>45981</v>
      </c>
      <c r="J151" s="15">
        <v>25</v>
      </c>
      <c r="K151" s="16">
        <v>2</v>
      </c>
      <c r="L151" s="18" t="s">
        <v>281</v>
      </c>
      <c r="M151" s="50"/>
      <c r="N151" s="69"/>
      <c r="O151" s="157">
        <v>5426</v>
      </c>
      <c r="P151" s="19"/>
      <c r="Q151" s="110"/>
      <c r="R151" s="110"/>
      <c r="S151" s="110"/>
      <c r="T151" s="110"/>
      <c r="U151" s="110"/>
      <c r="V151" s="110"/>
      <c r="W151" s="110"/>
      <c r="X151" s="110">
        <v>4175</v>
      </c>
      <c r="Y151" s="151">
        <f t="shared" si="14"/>
        <v>4805.4250000000002</v>
      </c>
      <c r="Z151" s="151">
        <f t="shared" si="15"/>
        <v>5319.6054750000003</v>
      </c>
      <c r="AA151" s="151">
        <f t="shared" si="12"/>
        <v>5425.9975845000008</v>
      </c>
      <c r="AB151" s="151">
        <f t="shared" si="13"/>
        <v>5426</v>
      </c>
      <c r="AC151" s="168">
        <v>5426</v>
      </c>
    </row>
    <row r="152" spans="1:29">
      <c r="A152" s="8">
        <v>6737</v>
      </c>
      <c r="B152" s="9"/>
      <c r="C152" s="9" t="s">
        <v>282</v>
      </c>
      <c r="D152" s="7" t="s">
        <v>16</v>
      </c>
      <c r="E152" s="11" t="s">
        <v>17</v>
      </c>
      <c r="F152" s="23"/>
      <c r="G152" s="13" t="s">
        <v>19</v>
      </c>
      <c r="H152" s="14">
        <v>45036</v>
      </c>
      <c r="I152" s="14">
        <v>45767</v>
      </c>
      <c r="J152" s="15">
        <v>25</v>
      </c>
      <c r="K152" s="16">
        <v>2</v>
      </c>
      <c r="L152" s="61">
        <v>0.01</v>
      </c>
      <c r="M152" s="18" t="s">
        <v>283</v>
      </c>
      <c r="N152" s="69">
        <v>0.01</v>
      </c>
      <c r="O152" s="154">
        <v>4837</v>
      </c>
      <c r="P152" s="19"/>
      <c r="Q152" s="110"/>
      <c r="R152" s="110"/>
      <c r="S152" s="110"/>
      <c r="T152" s="110"/>
      <c r="U152" s="110"/>
      <c r="V152" s="110"/>
      <c r="W152" s="110"/>
      <c r="X152" s="110">
        <v>3722</v>
      </c>
      <c r="Y152" s="151">
        <f t="shared" si="14"/>
        <v>4284.0219999999999</v>
      </c>
      <c r="Z152" s="151">
        <f t="shared" si="15"/>
        <v>4742.4123540000001</v>
      </c>
      <c r="AA152" s="151">
        <f t="shared" si="12"/>
        <v>4837.26060108</v>
      </c>
      <c r="AB152" s="151">
        <f t="shared" si="13"/>
        <v>4837</v>
      </c>
      <c r="AC152" s="168">
        <v>4837</v>
      </c>
    </row>
    <row r="153" spans="1:29">
      <c r="A153" s="8">
        <v>6742</v>
      </c>
      <c r="B153" s="9"/>
      <c r="C153" s="9" t="s">
        <v>23</v>
      </c>
      <c r="D153" s="7" t="s">
        <v>16</v>
      </c>
      <c r="E153" s="11" t="s">
        <v>17</v>
      </c>
      <c r="F153" s="20"/>
      <c r="G153" s="16" t="s">
        <v>19</v>
      </c>
      <c r="H153" s="14">
        <v>45118</v>
      </c>
      <c r="I153" s="14">
        <v>45849</v>
      </c>
      <c r="J153" s="15">
        <v>25</v>
      </c>
      <c r="K153" s="16">
        <v>2</v>
      </c>
      <c r="L153" s="36" t="s">
        <v>199</v>
      </c>
      <c r="M153" s="18" t="s">
        <v>25</v>
      </c>
      <c r="N153" s="69" t="s">
        <v>284</v>
      </c>
      <c r="O153" s="162">
        <v>1755</v>
      </c>
      <c r="P153" s="19"/>
      <c r="Q153" s="110"/>
      <c r="R153" s="110"/>
      <c r="S153" s="110"/>
      <c r="T153" s="110"/>
      <c r="U153" s="110"/>
      <c r="V153" s="110"/>
      <c r="W153" s="110"/>
      <c r="X153" s="110">
        <v>1350</v>
      </c>
      <c r="Y153" s="151">
        <f t="shared" si="14"/>
        <v>1553.8500000000001</v>
      </c>
      <c r="Z153" s="151">
        <f t="shared" si="15"/>
        <v>1720.1119500000002</v>
      </c>
      <c r="AA153" s="151">
        <f t="shared" si="12"/>
        <v>1754.5141890000002</v>
      </c>
      <c r="AB153" s="151">
        <f t="shared" si="13"/>
        <v>1755</v>
      </c>
      <c r="AC153" s="168">
        <v>1755</v>
      </c>
    </row>
    <row r="154" spans="1:29">
      <c r="A154" s="8">
        <v>6766</v>
      </c>
      <c r="B154" s="9"/>
      <c r="C154" s="9" t="s">
        <v>285</v>
      </c>
      <c r="D154" s="7" t="s">
        <v>16</v>
      </c>
      <c r="E154" s="11" t="s">
        <v>17</v>
      </c>
      <c r="F154" s="20"/>
      <c r="G154" s="13" t="s">
        <v>19</v>
      </c>
      <c r="H154" s="14">
        <v>45218</v>
      </c>
      <c r="I154" s="14">
        <v>45949</v>
      </c>
      <c r="J154" s="15">
        <v>25</v>
      </c>
      <c r="K154" s="16">
        <v>2</v>
      </c>
      <c r="L154" s="18" t="s">
        <v>286</v>
      </c>
      <c r="M154" s="18"/>
      <c r="N154" s="18" t="s">
        <v>287</v>
      </c>
      <c r="O154" s="159">
        <v>8831</v>
      </c>
      <c r="P154" s="19"/>
      <c r="Q154" s="110"/>
      <c r="R154" s="110"/>
      <c r="S154" s="110"/>
      <c r="T154" s="110"/>
      <c r="U154" s="110"/>
      <c r="V154" s="110"/>
      <c r="W154" s="110"/>
      <c r="X154" s="110">
        <v>6795</v>
      </c>
      <c r="Y154" s="151">
        <f t="shared" si="14"/>
        <v>7821.0450000000001</v>
      </c>
      <c r="Z154" s="151">
        <f t="shared" si="15"/>
        <v>8657.8968150000001</v>
      </c>
      <c r="AA154" s="151">
        <f t="shared" si="12"/>
        <v>8831.0547513000001</v>
      </c>
      <c r="AB154" s="151">
        <f t="shared" si="13"/>
        <v>8831</v>
      </c>
      <c r="AC154" s="168">
        <v>8831</v>
      </c>
    </row>
    <row r="155" spans="1:29">
      <c r="A155" s="8">
        <v>6770</v>
      </c>
      <c r="B155" s="9"/>
      <c r="C155" s="9" t="s">
        <v>288</v>
      </c>
      <c r="D155" s="7" t="s">
        <v>16</v>
      </c>
      <c r="E155" s="11" t="s">
        <v>17</v>
      </c>
      <c r="F155" s="23"/>
      <c r="G155" s="78" t="s">
        <v>19</v>
      </c>
      <c r="H155" s="14">
        <v>45068</v>
      </c>
      <c r="I155" s="14">
        <v>45799</v>
      </c>
      <c r="J155" s="15">
        <v>25</v>
      </c>
      <c r="K155" s="16">
        <v>2</v>
      </c>
      <c r="L155" s="17"/>
      <c r="M155" s="36" t="s">
        <v>289</v>
      </c>
      <c r="N155" s="36" t="s">
        <v>290</v>
      </c>
      <c r="O155" s="159">
        <v>2827</v>
      </c>
      <c r="P155" s="19"/>
      <c r="Q155" s="110"/>
      <c r="R155" s="110"/>
      <c r="S155" s="110"/>
      <c r="T155" s="110"/>
      <c r="U155" s="110"/>
      <c r="V155" s="110"/>
      <c r="W155" s="110"/>
      <c r="X155" s="110">
        <v>2175</v>
      </c>
      <c r="Y155" s="151">
        <f t="shared" si="14"/>
        <v>2503.4250000000002</v>
      </c>
      <c r="Z155" s="151">
        <f t="shared" si="15"/>
        <v>2771.291475</v>
      </c>
      <c r="AA155" s="151">
        <f t="shared" si="12"/>
        <v>2826.7173045</v>
      </c>
      <c r="AB155" s="151">
        <f t="shared" si="13"/>
        <v>2827</v>
      </c>
      <c r="AC155" s="168">
        <v>2827</v>
      </c>
    </row>
    <row r="156" spans="1:29">
      <c r="A156" s="8">
        <v>6827</v>
      </c>
      <c r="B156" s="9"/>
      <c r="C156" s="9" t="s">
        <v>291</v>
      </c>
      <c r="D156" s="7" t="s">
        <v>16</v>
      </c>
      <c r="E156" s="11" t="s">
        <v>17</v>
      </c>
      <c r="F156" s="23"/>
      <c r="G156" s="16" t="s">
        <v>19</v>
      </c>
      <c r="H156" s="14">
        <v>45068</v>
      </c>
      <c r="I156" s="14">
        <v>45799</v>
      </c>
      <c r="J156" s="15">
        <v>25</v>
      </c>
      <c r="K156" s="16">
        <v>2</v>
      </c>
      <c r="L156" s="29" t="s">
        <v>66</v>
      </c>
      <c r="M156" s="41" t="s">
        <v>292</v>
      </c>
      <c r="N156" s="36" t="s">
        <v>293</v>
      </c>
      <c r="O156" s="159">
        <v>755</v>
      </c>
      <c r="P156" s="19"/>
      <c r="Q156" s="110"/>
      <c r="R156" s="110"/>
      <c r="S156" s="110"/>
      <c r="T156" s="110"/>
      <c r="U156" s="110"/>
      <c r="V156" s="110"/>
      <c r="W156" s="110"/>
      <c r="X156" s="110">
        <v>581</v>
      </c>
      <c r="Y156" s="151">
        <f t="shared" si="14"/>
        <v>668.73099999999999</v>
      </c>
      <c r="Z156" s="151">
        <f t="shared" si="15"/>
        <v>740.28521699999999</v>
      </c>
      <c r="AA156" s="151">
        <f t="shared" si="12"/>
        <v>755.09092134000002</v>
      </c>
      <c r="AB156" s="151">
        <f t="shared" si="13"/>
        <v>755</v>
      </c>
      <c r="AC156" s="168">
        <v>755</v>
      </c>
    </row>
    <row r="157" spans="1:29">
      <c r="A157" s="8">
        <v>6864</v>
      </c>
      <c r="B157" s="9"/>
      <c r="C157" s="10" t="s">
        <v>249</v>
      </c>
      <c r="D157" s="7" t="s">
        <v>16</v>
      </c>
      <c r="E157" s="11" t="s">
        <v>17</v>
      </c>
      <c r="F157" s="23"/>
      <c r="G157" s="27" t="s">
        <v>19</v>
      </c>
      <c r="H157" s="14">
        <v>45034</v>
      </c>
      <c r="I157" s="25">
        <v>45765</v>
      </c>
      <c r="J157" s="15">
        <v>25</v>
      </c>
      <c r="K157" s="16">
        <v>2</v>
      </c>
      <c r="L157" s="36" t="s">
        <v>250</v>
      </c>
      <c r="M157" s="36" t="s">
        <v>251</v>
      </c>
      <c r="N157" s="36" t="s">
        <v>252</v>
      </c>
      <c r="O157" s="159">
        <v>1446</v>
      </c>
      <c r="P157" s="19"/>
      <c r="Q157" s="110"/>
      <c r="R157" s="110"/>
      <c r="S157" s="110"/>
      <c r="T157" s="110"/>
      <c r="U157" s="110"/>
      <c r="V157" s="110"/>
      <c r="W157" s="110"/>
      <c r="X157" s="110">
        <v>1113</v>
      </c>
      <c r="Y157" s="151">
        <f t="shared" si="14"/>
        <v>1281.0630000000001</v>
      </c>
      <c r="Z157" s="151">
        <f t="shared" si="15"/>
        <v>1418.136741</v>
      </c>
      <c r="AA157" s="151">
        <f t="shared" si="12"/>
        <v>1446.49947582</v>
      </c>
      <c r="AB157" s="151">
        <f t="shared" si="13"/>
        <v>1446</v>
      </c>
      <c r="AC157" s="168">
        <v>1446</v>
      </c>
    </row>
    <row r="158" spans="1:29">
      <c r="A158" s="8">
        <v>6865</v>
      </c>
      <c r="B158" s="9"/>
      <c r="C158" s="10" t="s">
        <v>249</v>
      </c>
      <c r="D158" s="7" t="s">
        <v>16</v>
      </c>
      <c r="E158" s="11" t="s">
        <v>17</v>
      </c>
      <c r="F158" s="23"/>
      <c r="G158" s="27" t="s">
        <v>19</v>
      </c>
      <c r="H158" s="14">
        <v>45034</v>
      </c>
      <c r="I158" s="25">
        <v>45765</v>
      </c>
      <c r="J158" s="15">
        <v>25</v>
      </c>
      <c r="K158" s="16">
        <v>2</v>
      </c>
      <c r="L158" s="36" t="s">
        <v>250</v>
      </c>
      <c r="M158" s="36" t="s">
        <v>251</v>
      </c>
      <c r="N158" s="36" t="s">
        <v>252</v>
      </c>
      <c r="O158" s="159">
        <v>1446</v>
      </c>
      <c r="P158" s="19"/>
      <c r="Q158" s="110"/>
      <c r="R158" s="110"/>
      <c r="S158" s="110"/>
      <c r="T158" s="110"/>
      <c r="U158" s="110"/>
      <c r="V158" s="110"/>
      <c r="W158" s="110"/>
      <c r="X158" s="110">
        <v>1113</v>
      </c>
      <c r="Y158" s="151">
        <f t="shared" si="14"/>
        <v>1281.0630000000001</v>
      </c>
      <c r="Z158" s="151">
        <f t="shared" si="15"/>
        <v>1418.136741</v>
      </c>
      <c r="AA158" s="151">
        <f t="shared" si="12"/>
        <v>1446.49947582</v>
      </c>
      <c r="AB158" s="151">
        <f t="shared" si="13"/>
        <v>1446</v>
      </c>
      <c r="AC158" s="168">
        <v>1446</v>
      </c>
    </row>
    <row r="159" spans="1:29">
      <c r="A159" s="8">
        <v>6896</v>
      </c>
      <c r="B159" s="9"/>
      <c r="C159" s="96" t="s">
        <v>294</v>
      </c>
      <c r="D159" s="7" t="s">
        <v>16</v>
      </c>
      <c r="E159" s="11" t="s">
        <v>17</v>
      </c>
      <c r="F159" s="20" t="s">
        <v>295</v>
      </c>
      <c r="G159" s="16" t="s">
        <v>19</v>
      </c>
      <c r="H159" s="14">
        <v>45519</v>
      </c>
      <c r="I159" s="14">
        <v>45884</v>
      </c>
      <c r="J159" s="15">
        <v>25</v>
      </c>
      <c r="K159" s="16">
        <v>1</v>
      </c>
      <c r="L159" s="36" t="s">
        <v>296</v>
      </c>
      <c r="M159" s="36"/>
      <c r="N159" s="36"/>
      <c r="O159" s="154">
        <v>49068</v>
      </c>
      <c r="P159" s="19"/>
      <c r="Q159" s="110"/>
      <c r="R159" s="110"/>
      <c r="S159" s="110"/>
      <c r="T159" s="110"/>
      <c r="U159" s="110"/>
      <c r="V159" s="110"/>
      <c r="W159" s="110"/>
      <c r="X159" s="110"/>
      <c r="Y159" s="110">
        <v>43456</v>
      </c>
      <c r="Z159" s="151">
        <f t="shared" si="15"/>
        <v>48105.792000000001</v>
      </c>
      <c r="AA159" s="151">
        <f t="shared" si="12"/>
        <v>49067.90784</v>
      </c>
      <c r="AB159" s="151">
        <f t="shared" si="13"/>
        <v>49068</v>
      </c>
      <c r="AC159" s="168">
        <v>49068</v>
      </c>
    </row>
    <row r="160" spans="1:29">
      <c r="A160" s="8">
        <v>6906</v>
      </c>
      <c r="B160" s="9"/>
      <c r="C160" s="9" t="s">
        <v>297</v>
      </c>
      <c r="D160" s="7" t="s">
        <v>16</v>
      </c>
      <c r="E160" s="11" t="s">
        <v>17</v>
      </c>
      <c r="F160" s="97" t="s">
        <v>203</v>
      </c>
      <c r="G160" s="16" t="s">
        <v>298</v>
      </c>
      <c r="H160" s="14">
        <v>44405</v>
      </c>
      <c r="I160" s="14">
        <v>45866</v>
      </c>
      <c r="J160" s="15">
        <v>25</v>
      </c>
      <c r="K160" s="16">
        <v>4</v>
      </c>
      <c r="L160" s="29" t="s">
        <v>299</v>
      </c>
      <c r="M160" s="36"/>
      <c r="N160" s="36"/>
      <c r="O160" s="154">
        <v>12523</v>
      </c>
      <c r="P160" s="145"/>
      <c r="Q160" s="146"/>
      <c r="R160" s="146"/>
      <c r="S160" s="146"/>
      <c r="T160" s="146"/>
      <c r="U160" s="146"/>
      <c r="V160" s="146">
        <v>8995</v>
      </c>
      <c r="W160" s="146"/>
      <c r="X160" s="146"/>
      <c r="Y160" s="151"/>
      <c r="Z160" s="151">
        <f t="shared" si="15"/>
        <v>0</v>
      </c>
      <c r="AA160" s="151">
        <f t="shared" si="12"/>
        <v>0</v>
      </c>
      <c r="AB160" s="151">
        <f t="shared" si="13"/>
        <v>0</v>
      </c>
      <c r="AC160" s="168">
        <v>12523</v>
      </c>
    </row>
    <row r="161" spans="1:29">
      <c r="A161" s="8">
        <v>6939</v>
      </c>
      <c r="B161" s="10"/>
      <c r="C161" s="10" t="s">
        <v>122</v>
      </c>
      <c r="D161" s="7" t="s">
        <v>16</v>
      </c>
      <c r="E161" s="11" t="s">
        <v>17</v>
      </c>
      <c r="F161" s="20" t="s">
        <v>300</v>
      </c>
      <c r="G161" s="13" t="s">
        <v>19</v>
      </c>
      <c r="H161" s="14">
        <v>45495</v>
      </c>
      <c r="I161" s="14">
        <v>45860</v>
      </c>
      <c r="J161" s="15">
        <v>25</v>
      </c>
      <c r="K161" s="16">
        <v>1</v>
      </c>
      <c r="L161" s="61">
        <v>0.11</v>
      </c>
      <c r="M161" s="36" t="s">
        <v>123</v>
      </c>
      <c r="N161" s="32">
        <v>0.1</v>
      </c>
      <c r="O161" s="159">
        <v>1653</v>
      </c>
      <c r="P161" s="19"/>
      <c r="Q161" s="110"/>
      <c r="R161" s="110"/>
      <c r="S161" s="110"/>
      <c r="T161" s="110"/>
      <c r="U161" s="110"/>
      <c r="V161" s="110"/>
      <c r="W161" s="110"/>
      <c r="X161" s="110"/>
      <c r="Y161" s="110">
        <v>1464</v>
      </c>
      <c r="Z161" s="151">
        <f t="shared" si="15"/>
        <v>1620.6479999999999</v>
      </c>
      <c r="AA161" s="151">
        <f t="shared" si="12"/>
        <v>1653.06096</v>
      </c>
      <c r="AB161" s="151">
        <f t="shared" si="13"/>
        <v>1653</v>
      </c>
      <c r="AC161" s="168">
        <v>1653</v>
      </c>
    </row>
    <row r="162" spans="1:29">
      <c r="A162" s="8">
        <v>6940</v>
      </c>
      <c r="B162" s="10"/>
      <c r="C162" s="10" t="s">
        <v>122</v>
      </c>
      <c r="D162" s="7" t="s">
        <v>16</v>
      </c>
      <c r="E162" s="11" t="s">
        <v>17</v>
      </c>
      <c r="F162" s="20"/>
      <c r="G162" s="13" t="s">
        <v>19</v>
      </c>
      <c r="H162" s="14">
        <v>45495</v>
      </c>
      <c r="I162" s="14">
        <v>45860</v>
      </c>
      <c r="J162" s="15">
        <v>25</v>
      </c>
      <c r="K162" s="16">
        <v>1</v>
      </c>
      <c r="L162" s="61">
        <v>0.1</v>
      </c>
      <c r="M162" s="36" t="s">
        <v>123</v>
      </c>
      <c r="N162" s="32">
        <v>0.1</v>
      </c>
      <c r="O162" s="159">
        <v>1653</v>
      </c>
      <c r="P162" s="19"/>
      <c r="Q162" s="110"/>
      <c r="R162" s="110"/>
      <c r="S162" s="110"/>
      <c r="T162" s="110"/>
      <c r="U162" s="110"/>
      <c r="V162" s="110"/>
      <c r="W162" s="110"/>
      <c r="X162" s="110"/>
      <c r="Y162" s="110">
        <v>1464</v>
      </c>
      <c r="Z162" s="151">
        <f t="shared" si="15"/>
        <v>1620.6479999999999</v>
      </c>
      <c r="AA162" s="151">
        <f t="shared" si="12"/>
        <v>1653.06096</v>
      </c>
      <c r="AB162" s="151">
        <f t="shared" si="13"/>
        <v>1653</v>
      </c>
      <c r="AC162" s="168">
        <v>1653</v>
      </c>
    </row>
    <row r="163" spans="1:29">
      <c r="A163" s="8">
        <v>6962</v>
      </c>
      <c r="B163" s="9"/>
      <c r="C163" s="10" t="s">
        <v>249</v>
      </c>
      <c r="D163" s="7" t="s">
        <v>16</v>
      </c>
      <c r="E163" s="11" t="s">
        <v>17</v>
      </c>
      <c r="F163" s="23"/>
      <c r="G163" s="27" t="s">
        <v>19</v>
      </c>
      <c r="H163" s="14">
        <v>45034</v>
      </c>
      <c r="I163" s="25">
        <v>45765</v>
      </c>
      <c r="J163" s="15">
        <v>25</v>
      </c>
      <c r="K163" s="16">
        <v>2</v>
      </c>
      <c r="L163" s="36" t="s">
        <v>250</v>
      </c>
      <c r="M163" s="36" t="s">
        <v>251</v>
      </c>
      <c r="N163" s="36" t="s">
        <v>252</v>
      </c>
      <c r="O163" s="159">
        <v>1446</v>
      </c>
      <c r="P163" s="19"/>
      <c r="Q163" s="110"/>
      <c r="R163" s="110"/>
      <c r="S163" s="110"/>
      <c r="T163" s="110"/>
      <c r="U163" s="110"/>
      <c r="V163" s="110"/>
      <c r="W163" s="110"/>
      <c r="X163" s="110">
        <v>1113</v>
      </c>
      <c r="Y163" s="151">
        <f>+X163*(1+$W$3)</f>
        <v>1281.0630000000001</v>
      </c>
      <c r="Z163" s="151">
        <f t="shared" si="15"/>
        <v>1418.136741</v>
      </c>
      <c r="AA163" s="151">
        <f t="shared" si="12"/>
        <v>1446.49947582</v>
      </c>
      <c r="AB163" s="151">
        <f t="shared" si="13"/>
        <v>1446</v>
      </c>
      <c r="AC163" s="168">
        <v>1446</v>
      </c>
    </row>
    <row r="164" spans="1:29">
      <c r="A164" s="8">
        <v>6963</v>
      </c>
      <c r="B164" s="9"/>
      <c r="C164" s="10" t="s">
        <v>249</v>
      </c>
      <c r="D164" s="7" t="s">
        <v>16</v>
      </c>
      <c r="E164" s="11" t="s">
        <v>17</v>
      </c>
      <c r="F164" s="23"/>
      <c r="G164" s="27" t="s">
        <v>19</v>
      </c>
      <c r="H164" s="14">
        <v>45034</v>
      </c>
      <c r="I164" s="25">
        <v>45765</v>
      </c>
      <c r="J164" s="15">
        <v>25</v>
      </c>
      <c r="K164" s="16">
        <v>2</v>
      </c>
      <c r="L164" s="36" t="s">
        <v>250</v>
      </c>
      <c r="M164" s="36" t="s">
        <v>251</v>
      </c>
      <c r="N164" s="36" t="s">
        <v>252</v>
      </c>
      <c r="O164" s="159">
        <v>1446</v>
      </c>
      <c r="P164" s="19"/>
      <c r="Q164" s="110"/>
      <c r="R164" s="110"/>
      <c r="S164" s="110"/>
      <c r="T164" s="110"/>
      <c r="U164" s="110"/>
      <c r="V164" s="110"/>
      <c r="W164" s="110"/>
      <c r="X164" s="110">
        <v>1113</v>
      </c>
      <c r="Y164" s="151">
        <f t="shared" ref="Y164:Y175" si="16">+X164*(1+$W$3)</f>
        <v>1281.0630000000001</v>
      </c>
      <c r="Z164" s="151">
        <f t="shared" si="15"/>
        <v>1418.136741</v>
      </c>
      <c r="AA164" s="151">
        <f t="shared" si="12"/>
        <v>1446.49947582</v>
      </c>
      <c r="AB164" s="151">
        <f t="shared" si="13"/>
        <v>1446</v>
      </c>
      <c r="AC164" s="168">
        <v>1446</v>
      </c>
    </row>
    <row r="165" spans="1:29">
      <c r="A165" s="8">
        <v>6964</v>
      </c>
      <c r="B165" s="9"/>
      <c r="C165" s="10" t="s">
        <v>249</v>
      </c>
      <c r="D165" s="7" t="s">
        <v>16</v>
      </c>
      <c r="E165" s="11" t="s">
        <v>17</v>
      </c>
      <c r="F165" s="23"/>
      <c r="G165" s="27" t="s">
        <v>19</v>
      </c>
      <c r="H165" s="14">
        <v>45033</v>
      </c>
      <c r="I165" s="25">
        <v>45764</v>
      </c>
      <c r="J165" s="15">
        <v>25</v>
      </c>
      <c r="K165" s="16">
        <v>2</v>
      </c>
      <c r="L165" s="36" t="s">
        <v>250</v>
      </c>
      <c r="M165" s="36" t="s">
        <v>251</v>
      </c>
      <c r="N165" s="36" t="s">
        <v>252</v>
      </c>
      <c r="O165" s="159">
        <v>1446</v>
      </c>
      <c r="P165" s="19"/>
      <c r="Q165" s="110"/>
      <c r="R165" s="110"/>
      <c r="S165" s="110"/>
      <c r="T165" s="110"/>
      <c r="U165" s="110"/>
      <c r="V165" s="110"/>
      <c r="W165" s="110"/>
      <c r="X165" s="110">
        <v>1113</v>
      </c>
      <c r="Y165" s="151">
        <f t="shared" si="16"/>
        <v>1281.0630000000001</v>
      </c>
      <c r="Z165" s="151">
        <f t="shared" si="15"/>
        <v>1418.136741</v>
      </c>
      <c r="AA165" s="151">
        <f t="shared" si="12"/>
        <v>1446.49947582</v>
      </c>
      <c r="AB165" s="151">
        <f t="shared" si="13"/>
        <v>1446</v>
      </c>
      <c r="AC165" s="168">
        <v>1446</v>
      </c>
    </row>
    <row r="166" spans="1:29">
      <c r="A166" s="8">
        <v>6972</v>
      </c>
      <c r="B166" s="9"/>
      <c r="C166" s="9" t="s">
        <v>301</v>
      </c>
      <c r="D166" s="7" t="s">
        <v>16</v>
      </c>
      <c r="E166" s="11" t="s">
        <v>17</v>
      </c>
      <c r="F166" s="20" t="s">
        <v>302</v>
      </c>
      <c r="G166" s="13" t="s">
        <v>19</v>
      </c>
      <c r="H166" s="25">
        <v>45288</v>
      </c>
      <c r="I166" s="25">
        <v>46019</v>
      </c>
      <c r="J166" s="15">
        <v>25</v>
      </c>
      <c r="K166" s="16">
        <v>2</v>
      </c>
      <c r="L166" s="18" t="s">
        <v>303</v>
      </c>
      <c r="M166" s="36" t="s">
        <v>304</v>
      </c>
      <c r="N166" s="18" t="s">
        <v>303</v>
      </c>
      <c r="O166" s="154">
        <v>14989</v>
      </c>
      <c r="P166" s="19"/>
      <c r="Q166" s="110"/>
      <c r="R166" s="110"/>
      <c r="S166" s="110"/>
      <c r="T166" s="110"/>
      <c r="U166" s="110"/>
      <c r="V166" s="110"/>
      <c r="W166" s="110"/>
      <c r="X166" s="110">
        <v>11533</v>
      </c>
      <c r="Y166" s="151">
        <f t="shared" si="16"/>
        <v>13274.483</v>
      </c>
      <c r="Z166" s="151">
        <f t="shared" si="15"/>
        <v>14694.852681</v>
      </c>
      <c r="AA166" s="151">
        <f t="shared" si="12"/>
        <v>14988.74973462</v>
      </c>
      <c r="AB166" s="151">
        <f t="shared" si="13"/>
        <v>14989</v>
      </c>
      <c r="AC166" s="168">
        <v>14989</v>
      </c>
    </row>
    <row r="167" spans="1:29">
      <c r="A167" s="8">
        <v>7027</v>
      </c>
      <c r="B167" s="9"/>
      <c r="C167" s="9" t="s">
        <v>94</v>
      </c>
      <c r="D167" s="7" t="s">
        <v>16</v>
      </c>
      <c r="E167" s="11" t="s">
        <v>17</v>
      </c>
      <c r="F167" s="20"/>
      <c r="G167" s="13" t="s">
        <v>19</v>
      </c>
      <c r="H167" s="14">
        <v>44665</v>
      </c>
      <c r="I167" s="14">
        <v>45761</v>
      </c>
      <c r="J167" s="15">
        <v>25</v>
      </c>
      <c r="K167" s="16">
        <v>3</v>
      </c>
      <c r="L167" s="36" t="s">
        <v>305</v>
      </c>
      <c r="M167" s="49" t="s">
        <v>306</v>
      </c>
      <c r="N167" s="36" t="s">
        <v>99</v>
      </c>
      <c r="O167" s="154">
        <v>258</v>
      </c>
      <c r="P167" s="19"/>
      <c r="Q167" s="110"/>
      <c r="R167" s="110"/>
      <c r="S167" s="110"/>
      <c r="T167" s="110"/>
      <c r="U167" s="110"/>
      <c r="V167" s="110"/>
      <c r="W167" s="110">
        <v>191</v>
      </c>
      <c r="X167" s="151">
        <f>+W167*(1+$V$3)</f>
        <v>198.25800000000001</v>
      </c>
      <c r="Y167" s="151">
        <f t="shared" si="16"/>
        <v>228.19495800000001</v>
      </c>
      <c r="Z167" s="151">
        <f t="shared" si="15"/>
        <v>252.61181850600002</v>
      </c>
      <c r="AA167" s="151">
        <f t="shared" si="12"/>
        <v>257.66405487612002</v>
      </c>
      <c r="AB167" s="151">
        <f t="shared" si="13"/>
        <v>258</v>
      </c>
      <c r="AC167" s="168">
        <v>258</v>
      </c>
    </row>
    <row r="168" spans="1:29">
      <c r="A168" s="8">
        <v>7029</v>
      </c>
      <c r="B168" s="9"/>
      <c r="C168" s="9" t="s">
        <v>307</v>
      </c>
      <c r="D168" s="7" t="s">
        <v>16</v>
      </c>
      <c r="E168" s="11" t="s">
        <v>17</v>
      </c>
      <c r="F168" s="20"/>
      <c r="G168" s="13" t="s">
        <v>19</v>
      </c>
      <c r="H168" s="25">
        <v>44704</v>
      </c>
      <c r="I168" s="14">
        <v>45800</v>
      </c>
      <c r="J168" s="15">
        <v>25</v>
      </c>
      <c r="K168" s="16">
        <v>3</v>
      </c>
      <c r="L168" s="18" t="s">
        <v>308</v>
      </c>
      <c r="M168" s="49" t="s">
        <v>309</v>
      </c>
      <c r="N168" s="18" t="s">
        <v>310</v>
      </c>
      <c r="O168" s="154">
        <v>789</v>
      </c>
      <c r="P168" s="19"/>
      <c r="Q168" s="110"/>
      <c r="R168" s="110"/>
      <c r="S168" s="110"/>
      <c r="T168" s="110"/>
      <c r="U168" s="110"/>
      <c r="V168" s="110"/>
      <c r="W168" s="110">
        <v>585</v>
      </c>
      <c r="X168" s="151">
        <f>+W168*(1+$V$3)</f>
        <v>607.23</v>
      </c>
      <c r="Y168" s="151">
        <f t="shared" si="16"/>
        <v>698.92173000000003</v>
      </c>
      <c r="Z168" s="151">
        <f t="shared" si="15"/>
        <v>773.70635511</v>
      </c>
      <c r="AA168" s="151">
        <f t="shared" si="12"/>
        <v>789.18048221219999</v>
      </c>
      <c r="AB168" s="151">
        <f t="shared" si="13"/>
        <v>789</v>
      </c>
      <c r="AC168" s="168">
        <v>789</v>
      </c>
    </row>
    <row r="169" spans="1:29">
      <c r="A169" s="8">
        <v>7033</v>
      </c>
      <c r="B169" s="10" t="s">
        <v>45</v>
      </c>
      <c r="C169" s="10" t="s">
        <v>145</v>
      </c>
      <c r="D169" s="7" t="s">
        <v>16</v>
      </c>
      <c r="E169" s="11" t="s">
        <v>17</v>
      </c>
      <c r="F169" s="23"/>
      <c r="G169" s="27" t="s">
        <v>19</v>
      </c>
      <c r="H169" s="25">
        <v>45040</v>
      </c>
      <c r="I169" s="25">
        <v>45771</v>
      </c>
      <c r="J169" s="15">
        <v>25</v>
      </c>
      <c r="K169" s="77">
        <v>2</v>
      </c>
      <c r="L169" s="36" t="s">
        <v>311</v>
      </c>
      <c r="M169" s="41"/>
      <c r="N169" s="49"/>
      <c r="O169" s="159">
        <v>1484</v>
      </c>
      <c r="P169" s="19"/>
      <c r="Q169" s="110"/>
      <c r="R169" s="110"/>
      <c r="S169" s="110"/>
      <c r="T169" s="110"/>
      <c r="U169" s="110"/>
      <c r="V169" s="110"/>
      <c r="W169" s="110"/>
      <c r="X169" s="110">
        <v>1142</v>
      </c>
      <c r="Y169" s="151">
        <f t="shared" si="16"/>
        <v>1314.442</v>
      </c>
      <c r="Z169" s="151">
        <f t="shared" si="15"/>
        <v>1455.0872939999999</v>
      </c>
      <c r="AA169" s="151">
        <f t="shared" si="12"/>
        <v>1484.1890398799999</v>
      </c>
      <c r="AB169" s="151">
        <f t="shared" si="13"/>
        <v>1484</v>
      </c>
      <c r="AC169" s="168">
        <v>1484</v>
      </c>
    </row>
    <row r="170" spans="1:29">
      <c r="A170" s="8">
        <v>7080</v>
      </c>
      <c r="B170" s="9"/>
      <c r="C170" s="9" t="s">
        <v>34</v>
      </c>
      <c r="D170" s="7" t="s">
        <v>16</v>
      </c>
      <c r="E170" s="11" t="s">
        <v>17</v>
      </c>
      <c r="F170" s="23"/>
      <c r="G170" s="27" t="s">
        <v>19</v>
      </c>
      <c r="H170" s="14">
        <v>45033</v>
      </c>
      <c r="I170" s="25">
        <v>45764</v>
      </c>
      <c r="J170" s="15">
        <v>25</v>
      </c>
      <c r="K170" s="21">
        <v>2</v>
      </c>
      <c r="L170" s="61" t="s">
        <v>312</v>
      </c>
      <c r="M170" s="41" t="s">
        <v>313</v>
      </c>
      <c r="N170" s="69" t="s">
        <v>206</v>
      </c>
      <c r="O170" s="159">
        <v>1094</v>
      </c>
      <c r="P170" s="19"/>
      <c r="Q170" s="110"/>
      <c r="R170" s="110"/>
      <c r="S170" s="110"/>
      <c r="T170" s="110"/>
      <c r="U170" s="110"/>
      <c r="V170" s="110"/>
      <c r="W170" s="110"/>
      <c r="X170" s="110">
        <v>842</v>
      </c>
      <c r="Y170" s="151">
        <f t="shared" si="16"/>
        <v>969.14200000000005</v>
      </c>
      <c r="Z170" s="151">
        <f t="shared" si="15"/>
        <v>1072.8401940000001</v>
      </c>
      <c r="AA170" s="151">
        <f t="shared" si="12"/>
        <v>1094.2969978800002</v>
      </c>
      <c r="AB170" s="151">
        <f t="shared" si="13"/>
        <v>1094</v>
      </c>
      <c r="AC170" s="168">
        <v>1094</v>
      </c>
    </row>
    <row r="171" spans="1:29">
      <c r="A171" s="8">
        <v>7117</v>
      </c>
      <c r="B171" s="9"/>
      <c r="C171" s="9" t="s">
        <v>314</v>
      </c>
      <c r="D171" s="7" t="s">
        <v>16</v>
      </c>
      <c r="E171" s="11" t="s">
        <v>17</v>
      </c>
      <c r="F171" s="20"/>
      <c r="G171" s="13" t="s">
        <v>19</v>
      </c>
      <c r="H171" s="14">
        <v>45249</v>
      </c>
      <c r="I171" s="14">
        <v>45980</v>
      </c>
      <c r="J171" s="15">
        <v>25</v>
      </c>
      <c r="K171" s="16">
        <v>2</v>
      </c>
      <c r="L171" s="64">
        <v>0.02</v>
      </c>
      <c r="M171" s="36" t="s">
        <v>176</v>
      </c>
      <c r="N171" s="64" t="s">
        <v>315</v>
      </c>
      <c r="O171" s="159">
        <v>8367</v>
      </c>
      <c r="P171" s="19"/>
      <c r="Q171" s="110"/>
      <c r="R171" s="110"/>
      <c r="S171" s="110"/>
      <c r="T171" s="110"/>
      <c r="U171" s="110"/>
      <c r="V171" s="110"/>
      <c r="W171" s="110"/>
      <c r="X171" s="110">
        <v>6438</v>
      </c>
      <c r="Y171" s="151">
        <f t="shared" si="16"/>
        <v>7410.1379999999999</v>
      </c>
      <c r="Z171" s="151">
        <f t="shared" si="15"/>
        <v>8203.022766</v>
      </c>
      <c r="AA171" s="151">
        <f t="shared" si="12"/>
        <v>8367.083221320001</v>
      </c>
      <c r="AB171" s="151">
        <f t="shared" si="13"/>
        <v>8367</v>
      </c>
      <c r="AC171" s="168">
        <v>8367</v>
      </c>
    </row>
    <row r="172" spans="1:29">
      <c r="A172" s="8">
        <v>7144</v>
      </c>
      <c r="B172" s="98"/>
      <c r="C172" s="9" t="s">
        <v>316</v>
      </c>
      <c r="D172" s="7" t="s">
        <v>16</v>
      </c>
      <c r="E172" s="11" t="s">
        <v>17</v>
      </c>
      <c r="F172" s="20"/>
      <c r="G172" s="16" t="s">
        <v>19</v>
      </c>
      <c r="H172" s="14">
        <v>45125</v>
      </c>
      <c r="I172" s="14">
        <v>45856</v>
      </c>
      <c r="J172" s="15">
        <v>25</v>
      </c>
      <c r="K172" s="16">
        <v>2</v>
      </c>
      <c r="L172" s="61">
        <v>0.01</v>
      </c>
      <c r="M172" s="36" t="s">
        <v>265</v>
      </c>
      <c r="N172" s="93" t="s">
        <v>266</v>
      </c>
      <c r="O172" s="159">
        <v>2369</v>
      </c>
      <c r="P172" s="19"/>
      <c r="Q172" s="110"/>
      <c r="R172" s="110"/>
      <c r="S172" s="110"/>
      <c r="T172" s="110"/>
      <c r="U172" s="110"/>
      <c r="V172" s="110"/>
      <c r="W172" s="110"/>
      <c r="X172" s="110">
        <v>1823</v>
      </c>
      <c r="Y172" s="151">
        <f t="shared" si="16"/>
        <v>2098.2730000000001</v>
      </c>
      <c r="Z172" s="151">
        <f t="shared" si="15"/>
        <v>2322.788211</v>
      </c>
      <c r="AA172" s="151">
        <f t="shared" si="12"/>
        <v>2369.2439752200003</v>
      </c>
      <c r="AB172" s="151">
        <f t="shared" si="13"/>
        <v>2369</v>
      </c>
      <c r="AC172" s="168">
        <v>2369</v>
      </c>
    </row>
    <row r="173" spans="1:29">
      <c r="A173" s="8">
        <v>7182</v>
      </c>
      <c r="B173" s="10" t="s">
        <v>45</v>
      </c>
      <c r="C173" s="9" t="s">
        <v>34</v>
      </c>
      <c r="D173" s="7" t="s">
        <v>16</v>
      </c>
      <c r="E173" s="11" t="s">
        <v>17</v>
      </c>
      <c r="F173" s="23" t="s">
        <v>203</v>
      </c>
      <c r="G173" s="27" t="s">
        <v>19</v>
      </c>
      <c r="H173" s="14">
        <v>45034</v>
      </c>
      <c r="I173" s="25">
        <v>45765</v>
      </c>
      <c r="J173" s="15">
        <v>25</v>
      </c>
      <c r="K173" s="77">
        <v>2</v>
      </c>
      <c r="L173" s="29" t="s">
        <v>201</v>
      </c>
      <c r="M173" s="41" t="s">
        <v>317</v>
      </c>
      <c r="N173" s="49" t="s">
        <v>201</v>
      </c>
      <c r="O173" s="154">
        <v>1094</v>
      </c>
      <c r="P173" s="19"/>
      <c r="Q173" s="110"/>
      <c r="R173" s="110"/>
      <c r="S173" s="110"/>
      <c r="T173" s="110"/>
      <c r="U173" s="110"/>
      <c r="V173" s="110"/>
      <c r="W173" s="110"/>
      <c r="X173" s="110">
        <v>842</v>
      </c>
      <c r="Y173" s="151">
        <f t="shared" si="16"/>
        <v>969.14200000000005</v>
      </c>
      <c r="Z173" s="151">
        <f t="shared" si="15"/>
        <v>1072.8401940000001</v>
      </c>
      <c r="AA173" s="151">
        <f t="shared" si="12"/>
        <v>1094.2969978800002</v>
      </c>
      <c r="AB173" s="151">
        <f t="shared" si="13"/>
        <v>1094</v>
      </c>
      <c r="AC173" s="168">
        <v>1094</v>
      </c>
    </row>
    <row r="174" spans="1:29">
      <c r="A174" s="8">
        <v>7252</v>
      </c>
      <c r="B174" s="10"/>
      <c r="C174" s="9" t="s">
        <v>23</v>
      </c>
      <c r="D174" s="7" t="s">
        <v>16</v>
      </c>
      <c r="E174" s="11" t="s">
        <v>17</v>
      </c>
      <c r="F174" s="20"/>
      <c r="G174" s="13" t="s">
        <v>19</v>
      </c>
      <c r="H174" s="25">
        <v>44656</v>
      </c>
      <c r="I174" s="25">
        <v>45752</v>
      </c>
      <c r="J174" s="15">
        <v>25</v>
      </c>
      <c r="K174" s="16">
        <v>3</v>
      </c>
      <c r="L174" s="36" t="s">
        <v>199</v>
      </c>
      <c r="M174" s="18" t="s">
        <v>25</v>
      </c>
      <c r="N174" s="36" t="s">
        <v>200</v>
      </c>
      <c r="O174" s="154">
        <v>1754</v>
      </c>
      <c r="P174" s="19"/>
      <c r="Q174" s="110"/>
      <c r="R174" s="110"/>
      <c r="S174" s="110"/>
      <c r="T174" s="110"/>
      <c r="U174" s="110"/>
      <c r="V174" s="110"/>
      <c r="W174" s="110">
        <v>1300</v>
      </c>
      <c r="X174" s="151">
        <f>+W174*(1+$V$3)</f>
        <v>1349.4</v>
      </c>
      <c r="Y174" s="151">
        <f t="shared" si="16"/>
        <v>1553.1594000000002</v>
      </c>
      <c r="Z174" s="151">
        <f t="shared" si="15"/>
        <v>1719.3474558000003</v>
      </c>
      <c r="AA174" s="151">
        <f t="shared" si="12"/>
        <v>1753.7344049160004</v>
      </c>
      <c r="AB174" s="151">
        <f t="shared" si="13"/>
        <v>1754</v>
      </c>
      <c r="AC174" s="168">
        <v>1754</v>
      </c>
    </row>
    <row r="175" spans="1:29">
      <c r="A175" s="8">
        <v>7265</v>
      </c>
      <c r="B175" s="9"/>
      <c r="C175" s="10" t="s">
        <v>23</v>
      </c>
      <c r="D175" s="7" t="s">
        <v>16</v>
      </c>
      <c r="E175" s="11" t="s">
        <v>17</v>
      </c>
      <c r="F175" s="20"/>
      <c r="G175" s="16" t="s">
        <v>19</v>
      </c>
      <c r="H175" s="25">
        <v>45243</v>
      </c>
      <c r="I175" s="14">
        <v>45974</v>
      </c>
      <c r="J175" s="15">
        <v>25</v>
      </c>
      <c r="K175" s="16">
        <v>2</v>
      </c>
      <c r="L175" s="36" t="s">
        <v>199</v>
      </c>
      <c r="M175" s="18" t="s">
        <v>25</v>
      </c>
      <c r="N175" s="36" t="s">
        <v>200</v>
      </c>
      <c r="O175" s="154">
        <v>1755</v>
      </c>
      <c r="P175" s="19"/>
      <c r="Q175" s="110"/>
      <c r="R175" s="110"/>
      <c r="S175" s="110"/>
      <c r="T175" s="110"/>
      <c r="U175" s="110"/>
      <c r="V175" s="110"/>
      <c r="W175" s="110"/>
      <c r="X175" s="110">
        <v>1350</v>
      </c>
      <c r="Y175" s="151">
        <f t="shared" si="16"/>
        <v>1553.8500000000001</v>
      </c>
      <c r="Z175" s="151">
        <f t="shared" si="15"/>
        <v>1720.1119500000002</v>
      </c>
      <c r="AA175" s="151">
        <f t="shared" si="12"/>
        <v>1754.5141890000002</v>
      </c>
      <c r="AB175" s="151">
        <f t="shared" si="13"/>
        <v>1755</v>
      </c>
      <c r="AC175" s="168">
        <v>1755</v>
      </c>
    </row>
    <row r="176" spans="1:29">
      <c r="A176" s="8">
        <v>7268</v>
      </c>
      <c r="B176" s="10" t="s">
        <v>45</v>
      </c>
      <c r="C176" s="9" t="s">
        <v>247</v>
      </c>
      <c r="D176" s="7" t="s">
        <v>16</v>
      </c>
      <c r="E176" s="11" t="s">
        <v>17</v>
      </c>
      <c r="F176" s="20"/>
      <c r="G176" s="16" t="s">
        <v>19</v>
      </c>
      <c r="H176" s="25">
        <v>45561</v>
      </c>
      <c r="I176" s="14">
        <v>45929</v>
      </c>
      <c r="J176" s="15">
        <v>25</v>
      </c>
      <c r="K176" s="16">
        <v>1</v>
      </c>
      <c r="L176" s="92">
        <v>0.05</v>
      </c>
      <c r="M176" s="29" t="s">
        <v>248</v>
      </c>
      <c r="N176" s="36"/>
      <c r="O176" s="163">
        <v>11615</v>
      </c>
      <c r="P176" s="19"/>
      <c r="Q176" s="110"/>
      <c r="R176" s="110"/>
      <c r="S176" s="110"/>
      <c r="T176" s="110"/>
      <c r="U176" s="110"/>
      <c r="V176" s="110"/>
      <c r="W176" s="110"/>
      <c r="X176" s="110"/>
      <c r="Y176" s="110">
        <v>10287</v>
      </c>
      <c r="Z176" s="151">
        <f t="shared" si="15"/>
        <v>11387.709000000001</v>
      </c>
      <c r="AA176" s="151">
        <f t="shared" si="12"/>
        <v>11615.463180000001</v>
      </c>
      <c r="AB176" s="151">
        <f t="shared" si="13"/>
        <v>11615</v>
      </c>
      <c r="AC176" s="168">
        <v>11615</v>
      </c>
    </row>
    <row r="177" spans="1:29">
      <c r="A177" s="51">
        <v>7385</v>
      </c>
      <c r="B177" s="52"/>
      <c r="C177" s="99" t="s">
        <v>23</v>
      </c>
      <c r="D177" s="99" t="s">
        <v>16</v>
      </c>
      <c r="E177" s="11" t="s">
        <v>17</v>
      </c>
      <c r="F177" s="100"/>
      <c r="G177" s="16" t="s">
        <v>19</v>
      </c>
      <c r="H177" s="25">
        <v>45215</v>
      </c>
      <c r="I177" s="14">
        <v>45946</v>
      </c>
      <c r="J177" s="15">
        <v>25</v>
      </c>
      <c r="K177" s="16">
        <v>2</v>
      </c>
      <c r="L177" s="29" t="s">
        <v>199</v>
      </c>
      <c r="M177" s="18" t="s">
        <v>25</v>
      </c>
      <c r="N177" s="29" t="s">
        <v>200</v>
      </c>
      <c r="O177" s="163">
        <v>1755</v>
      </c>
      <c r="P177" s="19"/>
      <c r="Q177" s="110"/>
      <c r="R177" s="110"/>
      <c r="S177" s="110"/>
      <c r="T177" s="110"/>
      <c r="U177" s="110"/>
      <c r="V177" s="110"/>
      <c r="W177" s="110"/>
      <c r="X177" s="110">
        <v>1350</v>
      </c>
      <c r="Y177" s="151">
        <f>+X177*(1+$W$3)</f>
        <v>1553.8500000000001</v>
      </c>
      <c r="Z177" s="151">
        <f t="shared" si="15"/>
        <v>1720.1119500000002</v>
      </c>
      <c r="AA177" s="151">
        <f t="shared" si="12"/>
        <v>1754.5141890000002</v>
      </c>
      <c r="AB177" s="151">
        <f t="shared" si="13"/>
        <v>1755</v>
      </c>
      <c r="AC177" s="168">
        <v>1755</v>
      </c>
    </row>
    <row r="178" spans="1:29">
      <c r="A178" s="8">
        <v>7475</v>
      </c>
      <c r="B178" s="9"/>
      <c r="C178" s="9" t="s">
        <v>34</v>
      </c>
      <c r="D178" s="7" t="s">
        <v>16</v>
      </c>
      <c r="E178" s="11" t="s">
        <v>17</v>
      </c>
      <c r="F178" s="23"/>
      <c r="G178" s="21" t="s">
        <v>298</v>
      </c>
      <c r="H178" s="14">
        <v>45033</v>
      </c>
      <c r="I178" s="14">
        <v>45764</v>
      </c>
      <c r="J178" s="15">
        <v>25</v>
      </c>
      <c r="K178" s="16">
        <v>2</v>
      </c>
      <c r="L178" s="64" t="s">
        <v>318</v>
      </c>
      <c r="M178" s="36" t="s">
        <v>319</v>
      </c>
      <c r="N178" s="64" t="s">
        <v>318</v>
      </c>
      <c r="O178" s="154">
        <v>3256</v>
      </c>
      <c r="P178" s="19"/>
      <c r="Q178" s="110"/>
      <c r="R178" s="110"/>
      <c r="S178" s="110"/>
      <c r="T178" s="110"/>
      <c r="U178" s="110"/>
      <c r="V178" s="110"/>
      <c r="W178" s="110"/>
      <c r="X178" s="110">
        <v>2505</v>
      </c>
      <c r="Y178" s="151">
        <f>+X178*(1+$W$3)</f>
        <v>2883.2550000000001</v>
      </c>
      <c r="Z178" s="151">
        <f t="shared" si="15"/>
        <v>3191.763285</v>
      </c>
      <c r="AA178" s="151">
        <f t="shared" si="12"/>
        <v>3255.5985507</v>
      </c>
      <c r="AB178" s="151">
        <f t="shared" si="13"/>
        <v>3256</v>
      </c>
      <c r="AC178" s="168">
        <v>3256</v>
      </c>
    </row>
    <row r="179" spans="1:29">
      <c r="A179" s="8">
        <v>7530</v>
      </c>
      <c r="B179" s="9"/>
      <c r="C179" s="9" t="s">
        <v>23</v>
      </c>
      <c r="D179" s="7" t="s">
        <v>16</v>
      </c>
      <c r="E179" s="11" t="s">
        <v>17</v>
      </c>
      <c r="F179" s="23"/>
      <c r="G179" s="13" t="s">
        <v>19</v>
      </c>
      <c r="H179" s="14">
        <v>45579</v>
      </c>
      <c r="I179" s="14">
        <v>45944</v>
      </c>
      <c r="J179" s="15">
        <v>25</v>
      </c>
      <c r="K179" s="21">
        <v>1</v>
      </c>
      <c r="L179" s="36" t="s">
        <v>199</v>
      </c>
      <c r="M179" s="18" t="s">
        <v>25</v>
      </c>
      <c r="N179" s="36" t="s">
        <v>200</v>
      </c>
      <c r="O179" s="154">
        <v>1755</v>
      </c>
      <c r="P179" s="19"/>
      <c r="Q179" s="110"/>
      <c r="R179" s="110"/>
      <c r="S179" s="110"/>
      <c r="T179" s="110"/>
      <c r="U179" s="110"/>
      <c r="V179" s="110"/>
      <c r="W179" s="110"/>
      <c r="X179" s="110"/>
      <c r="Y179" s="110">
        <v>1554</v>
      </c>
      <c r="Z179" s="151">
        <f t="shared" si="15"/>
        <v>1720.278</v>
      </c>
      <c r="AA179" s="151">
        <f t="shared" si="12"/>
        <v>1754.6835599999999</v>
      </c>
      <c r="AB179" s="151">
        <f t="shared" si="13"/>
        <v>1755</v>
      </c>
      <c r="AC179" s="168">
        <v>1755</v>
      </c>
    </row>
    <row r="180" spans="1:29">
      <c r="A180" s="8">
        <v>7535</v>
      </c>
      <c r="B180" s="10" t="s">
        <v>45</v>
      </c>
      <c r="C180" s="9" t="s">
        <v>34</v>
      </c>
      <c r="D180" s="7" t="s">
        <v>16</v>
      </c>
      <c r="E180" s="11" t="s">
        <v>17</v>
      </c>
      <c r="F180" s="23"/>
      <c r="G180" s="27" t="s">
        <v>19</v>
      </c>
      <c r="H180" s="14">
        <v>45034</v>
      </c>
      <c r="I180" s="14">
        <v>45765</v>
      </c>
      <c r="J180" s="15">
        <v>25</v>
      </c>
      <c r="K180" s="101">
        <v>2</v>
      </c>
      <c r="L180" s="29" t="s">
        <v>201</v>
      </c>
      <c r="M180" s="41" t="s">
        <v>317</v>
      </c>
      <c r="N180" s="49" t="s">
        <v>201</v>
      </c>
      <c r="O180" s="154">
        <v>1094</v>
      </c>
      <c r="P180" s="19"/>
      <c r="Q180" s="110"/>
      <c r="R180" s="110"/>
      <c r="S180" s="110"/>
      <c r="T180" s="110"/>
      <c r="U180" s="110"/>
      <c r="V180" s="110"/>
      <c r="W180" s="110"/>
      <c r="X180" s="110">
        <v>842</v>
      </c>
      <c r="Y180" s="151">
        <f>+X180*(1+$W$3)</f>
        <v>969.14200000000005</v>
      </c>
      <c r="Z180" s="151">
        <f t="shared" si="15"/>
        <v>1072.8401940000001</v>
      </c>
      <c r="AA180" s="151">
        <f t="shared" si="12"/>
        <v>1094.2969978800002</v>
      </c>
      <c r="AB180" s="151">
        <f t="shared" si="13"/>
        <v>1094</v>
      </c>
      <c r="AC180" s="168">
        <v>1094</v>
      </c>
    </row>
    <row r="181" spans="1:29">
      <c r="A181" s="8">
        <v>7536</v>
      </c>
      <c r="B181" s="10" t="s">
        <v>45</v>
      </c>
      <c r="C181" s="9" t="s">
        <v>34</v>
      </c>
      <c r="D181" s="7" t="s">
        <v>16</v>
      </c>
      <c r="E181" s="11" t="s">
        <v>17</v>
      </c>
      <c r="F181" s="23"/>
      <c r="G181" s="27" t="s">
        <v>19</v>
      </c>
      <c r="H181" s="14">
        <v>45034</v>
      </c>
      <c r="I181" s="14">
        <v>45765</v>
      </c>
      <c r="J181" s="15">
        <v>25</v>
      </c>
      <c r="K181" s="101">
        <v>2</v>
      </c>
      <c r="L181" s="29" t="s">
        <v>201</v>
      </c>
      <c r="M181" s="41" t="s">
        <v>317</v>
      </c>
      <c r="N181" s="49" t="s">
        <v>201</v>
      </c>
      <c r="O181" s="154">
        <v>1094</v>
      </c>
      <c r="P181" s="19"/>
      <c r="Q181" s="110"/>
      <c r="R181" s="110"/>
      <c r="S181" s="110"/>
      <c r="T181" s="110"/>
      <c r="U181" s="110"/>
      <c r="V181" s="110"/>
      <c r="W181" s="110"/>
      <c r="X181" s="110">
        <v>842</v>
      </c>
      <c r="Y181" s="151">
        <f t="shared" ref="Y181:Y201" si="17">+X181*(1+$W$3)</f>
        <v>969.14200000000005</v>
      </c>
      <c r="Z181" s="151">
        <f t="shared" si="15"/>
        <v>1072.8401940000001</v>
      </c>
      <c r="AA181" s="151">
        <f t="shared" si="12"/>
        <v>1094.2969978800002</v>
      </c>
      <c r="AB181" s="151">
        <f t="shared" si="13"/>
        <v>1094</v>
      </c>
      <c r="AC181" s="168">
        <v>1094</v>
      </c>
    </row>
    <row r="182" spans="1:29">
      <c r="A182" s="8">
        <v>7537</v>
      </c>
      <c r="B182" s="10" t="s">
        <v>45</v>
      </c>
      <c r="C182" s="9" t="s">
        <v>34</v>
      </c>
      <c r="D182" s="7" t="s">
        <v>16</v>
      </c>
      <c r="E182" s="11" t="s">
        <v>17</v>
      </c>
      <c r="F182" s="23"/>
      <c r="G182" s="27" t="s">
        <v>19</v>
      </c>
      <c r="H182" s="14">
        <v>45034</v>
      </c>
      <c r="I182" s="14">
        <v>45765</v>
      </c>
      <c r="J182" s="15">
        <v>25</v>
      </c>
      <c r="K182" s="101">
        <v>2</v>
      </c>
      <c r="L182" s="29" t="s">
        <v>201</v>
      </c>
      <c r="M182" s="41" t="s">
        <v>317</v>
      </c>
      <c r="N182" s="49" t="s">
        <v>201</v>
      </c>
      <c r="O182" s="154">
        <v>1094</v>
      </c>
      <c r="P182" s="19"/>
      <c r="Q182" s="110"/>
      <c r="R182" s="110"/>
      <c r="S182" s="110"/>
      <c r="T182" s="110"/>
      <c r="U182" s="110"/>
      <c r="V182" s="110"/>
      <c r="W182" s="110"/>
      <c r="X182" s="110">
        <v>842</v>
      </c>
      <c r="Y182" s="151">
        <f t="shared" si="17"/>
        <v>969.14200000000005</v>
      </c>
      <c r="Z182" s="151">
        <f t="shared" si="15"/>
        <v>1072.8401940000001</v>
      </c>
      <c r="AA182" s="151">
        <f t="shared" si="12"/>
        <v>1094.2969978800002</v>
      </c>
      <c r="AB182" s="151">
        <f t="shared" si="13"/>
        <v>1094</v>
      </c>
      <c r="AC182" s="168">
        <v>1094</v>
      </c>
    </row>
    <row r="183" spans="1:29">
      <c r="A183" s="8">
        <v>7539</v>
      </c>
      <c r="B183" s="10" t="s">
        <v>45</v>
      </c>
      <c r="C183" s="9" t="s">
        <v>34</v>
      </c>
      <c r="D183" s="7" t="s">
        <v>16</v>
      </c>
      <c r="E183" s="11" t="s">
        <v>17</v>
      </c>
      <c r="F183" s="23"/>
      <c r="G183" s="27" t="s">
        <v>19</v>
      </c>
      <c r="H183" s="14">
        <v>45033</v>
      </c>
      <c r="I183" s="14">
        <v>45764</v>
      </c>
      <c r="J183" s="15">
        <v>25</v>
      </c>
      <c r="K183" s="101">
        <v>2</v>
      </c>
      <c r="L183" s="29" t="s">
        <v>201</v>
      </c>
      <c r="M183" s="41" t="s">
        <v>317</v>
      </c>
      <c r="N183" s="49" t="s">
        <v>320</v>
      </c>
      <c r="O183" s="154">
        <v>1094</v>
      </c>
      <c r="P183" s="19"/>
      <c r="Q183" s="110"/>
      <c r="R183" s="110"/>
      <c r="S183" s="110"/>
      <c r="T183" s="110"/>
      <c r="U183" s="110"/>
      <c r="V183" s="110"/>
      <c r="W183" s="110"/>
      <c r="X183" s="110">
        <v>842</v>
      </c>
      <c r="Y183" s="151">
        <f t="shared" si="17"/>
        <v>969.14200000000005</v>
      </c>
      <c r="Z183" s="151">
        <f t="shared" si="15"/>
        <v>1072.8401940000001</v>
      </c>
      <c r="AA183" s="151">
        <f t="shared" si="12"/>
        <v>1094.2969978800002</v>
      </c>
      <c r="AB183" s="151">
        <f t="shared" si="13"/>
        <v>1094</v>
      </c>
      <c r="AC183" s="168">
        <v>1094</v>
      </c>
    </row>
    <row r="184" spans="1:29">
      <c r="A184" s="8">
        <v>7584</v>
      </c>
      <c r="B184" s="9"/>
      <c r="C184" s="9" t="s">
        <v>249</v>
      </c>
      <c r="D184" s="7" t="s">
        <v>16</v>
      </c>
      <c r="E184" s="11" t="s">
        <v>17</v>
      </c>
      <c r="F184" s="23"/>
      <c r="G184" s="16" t="s">
        <v>298</v>
      </c>
      <c r="H184" s="14">
        <v>45033</v>
      </c>
      <c r="I184" s="14">
        <v>45764</v>
      </c>
      <c r="J184" s="21">
        <v>25</v>
      </c>
      <c r="K184" s="16">
        <v>2</v>
      </c>
      <c r="L184" s="36" t="s">
        <v>321</v>
      </c>
      <c r="M184" s="50" t="s">
        <v>254</v>
      </c>
      <c r="N184" s="32" t="s">
        <v>255</v>
      </c>
      <c r="O184" s="159">
        <v>1446</v>
      </c>
      <c r="P184" s="19"/>
      <c r="Q184" s="110"/>
      <c r="R184" s="110"/>
      <c r="S184" s="110"/>
      <c r="T184" s="110"/>
      <c r="U184" s="110"/>
      <c r="V184" s="110"/>
      <c r="W184" s="110"/>
      <c r="X184" s="110">
        <v>1113</v>
      </c>
      <c r="Y184" s="151">
        <f t="shared" si="17"/>
        <v>1281.0630000000001</v>
      </c>
      <c r="Z184" s="151">
        <f t="shared" si="15"/>
        <v>1418.136741</v>
      </c>
      <c r="AA184" s="151">
        <f t="shared" si="12"/>
        <v>1446.49947582</v>
      </c>
      <c r="AB184" s="151">
        <f t="shared" si="13"/>
        <v>1446</v>
      </c>
      <c r="AC184" s="168">
        <v>1446</v>
      </c>
    </row>
    <row r="185" spans="1:29">
      <c r="A185" s="8">
        <v>7586</v>
      </c>
      <c r="B185" s="10" t="s">
        <v>45</v>
      </c>
      <c r="C185" s="9" t="s">
        <v>275</v>
      </c>
      <c r="D185" s="7" t="s">
        <v>16</v>
      </c>
      <c r="E185" s="11" t="s">
        <v>17</v>
      </c>
      <c r="F185" s="23"/>
      <c r="G185" s="21" t="s">
        <v>19</v>
      </c>
      <c r="H185" s="14">
        <v>45033</v>
      </c>
      <c r="I185" s="14">
        <v>45764</v>
      </c>
      <c r="J185" s="21">
        <v>25</v>
      </c>
      <c r="K185" s="16">
        <v>2</v>
      </c>
      <c r="L185" s="36" t="s">
        <v>37</v>
      </c>
      <c r="M185" s="50" t="s">
        <v>322</v>
      </c>
      <c r="N185" s="32" t="s">
        <v>323</v>
      </c>
      <c r="O185" s="159">
        <v>1094</v>
      </c>
      <c r="P185" s="19"/>
      <c r="Q185" s="110"/>
      <c r="R185" s="110"/>
      <c r="S185" s="110"/>
      <c r="T185" s="110"/>
      <c r="U185" s="110"/>
      <c r="V185" s="110"/>
      <c r="W185" s="110"/>
      <c r="X185" s="110">
        <v>842</v>
      </c>
      <c r="Y185" s="151">
        <f t="shared" si="17"/>
        <v>969.14200000000005</v>
      </c>
      <c r="Z185" s="151">
        <f t="shared" si="15"/>
        <v>1072.8401940000001</v>
      </c>
      <c r="AA185" s="151">
        <f t="shared" si="12"/>
        <v>1094.2969978800002</v>
      </c>
      <c r="AB185" s="151">
        <f t="shared" si="13"/>
        <v>1094</v>
      </c>
      <c r="AC185" s="168">
        <v>1094</v>
      </c>
    </row>
    <row r="186" spans="1:29">
      <c r="A186" s="8">
        <v>7589</v>
      </c>
      <c r="B186" s="10" t="s">
        <v>45</v>
      </c>
      <c r="C186" s="9" t="s">
        <v>275</v>
      </c>
      <c r="D186" s="7" t="s">
        <v>16</v>
      </c>
      <c r="E186" s="11" t="s">
        <v>17</v>
      </c>
      <c r="F186" s="23"/>
      <c r="G186" s="21" t="s">
        <v>19</v>
      </c>
      <c r="H186" s="14">
        <v>45034</v>
      </c>
      <c r="I186" s="14">
        <v>45765</v>
      </c>
      <c r="J186" s="21">
        <v>25</v>
      </c>
      <c r="K186" s="16">
        <v>2</v>
      </c>
      <c r="L186" s="36" t="s">
        <v>37</v>
      </c>
      <c r="M186" s="50" t="s">
        <v>322</v>
      </c>
      <c r="N186" s="32" t="s">
        <v>323</v>
      </c>
      <c r="O186" s="159">
        <v>1094</v>
      </c>
      <c r="P186" s="19"/>
      <c r="Q186" s="110"/>
      <c r="R186" s="110"/>
      <c r="S186" s="110"/>
      <c r="T186" s="110"/>
      <c r="U186" s="110"/>
      <c r="V186" s="110"/>
      <c r="W186" s="110"/>
      <c r="X186" s="110">
        <v>842</v>
      </c>
      <c r="Y186" s="151">
        <f t="shared" si="17"/>
        <v>969.14200000000005</v>
      </c>
      <c r="Z186" s="151">
        <f t="shared" si="15"/>
        <v>1072.8401940000001</v>
      </c>
      <c r="AA186" s="151">
        <f t="shared" si="12"/>
        <v>1094.2969978800002</v>
      </c>
      <c r="AB186" s="151">
        <f t="shared" si="13"/>
        <v>1094</v>
      </c>
      <c r="AC186" s="168">
        <v>1094</v>
      </c>
    </row>
    <row r="187" spans="1:29">
      <c r="A187" s="8">
        <v>7591</v>
      </c>
      <c r="B187" s="9"/>
      <c r="C187" s="9" t="s">
        <v>85</v>
      </c>
      <c r="D187" s="7" t="s">
        <v>16</v>
      </c>
      <c r="E187" s="11" t="s">
        <v>17</v>
      </c>
      <c r="F187" s="23"/>
      <c r="G187" s="27" t="s">
        <v>19</v>
      </c>
      <c r="H187" s="14">
        <v>45036</v>
      </c>
      <c r="I187" s="14">
        <v>45767</v>
      </c>
      <c r="J187" s="15">
        <v>25</v>
      </c>
      <c r="K187" s="16">
        <v>2</v>
      </c>
      <c r="L187" s="102">
        <v>5.0000000000000001E-3</v>
      </c>
      <c r="M187" s="29" t="s">
        <v>324</v>
      </c>
      <c r="N187" s="103" t="s">
        <v>325</v>
      </c>
      <c r="O187" s="159">
        <v>2471</v>
      </c>
      <c r="P187" s="19"/>
      <c r="Q187" s="110"/>
      <c r="R187" s="110"/>
      <c r="S187" s="110"/>
      <c r="T187" s="110"/>
      <c r="U187" s="110"/>
      <c r="V187" s="110"/>
      <c r="W187" s="110"/>
      <c r="X187" s="110">
        <v>1901</v>
      </c>
      <c r="Y187" s="151">
        <f t="shared" si="17"/>
        <v>2188.0509999999999</v>
      </c>
      <c r="Z187" s="151">
        <f t="shared" si="15"/>
        <v>2422.1724569999997</v>
      </c>
      <c r="AA187" s="151">
        <f t="shared" si="12"/>
        <v>2470.6159061399999</v>
      </c>
      <c r="AB187" s="151">
        <f t="shared" si="13"/>
        <v>2471</v>
      </c>
      <c r="AC187" s="168">
        <v>2471</v>
      </c>
    </row>
    <row r="188" spans="1:29">
      <c r="A188" s="8">
        <v>7599</v>
      </c>
      <c r="B188" s="104"/>
      <c r="C188" s="10" t="s">
        <v>23</v>
      </c>
      <c r="D188" s="7" t="s">
        <v>16</v>
      </c>
      <c r="E188" s="11" t="s">
        <v>17</v>
      </c>
      <c r="F188" s="20"/>
      <c r="G188" s="21" t="s">
        <v>19</v>
      </c>
      <c r="H188" s="14">
        <v>45093</v>
      </c>
      <c r="I188" s="14">
        <v>45824</v>
      </c>
      <c r="J188" s="105">
        <v>25</v>
      </c>
      <c r="K188" s="16">
        <v>2</v>
      </c>
      <c r="L188" s="36" t="s">
        <v>326</v>
      </c>
      <c r="M188" s="50" t="s">
        <v>25</v>
      </c>
      <c r="N188" s="32" t="s">
        <v>200</v>
      </c>
      <c r="O188" s="159">
        <v>1755</v>
      </c>
      <c r="P188" s="19"/>
      <c r="Q188" s="110"/>
      <c r="R188" s="110"/>
      <c r="S188" s="110"/>
      <c r="T188" s="110"/>
      <c r="U188" s="110"/>
      <c r="V188" s="110"/>
      <c r="W188" s="110"/>
      <c r="X188" s="110">
        <v>1350</v>
      </c>
      <c r="Y188" s="151">
        <f t="shared" si="17"/>
        <v>1553.8500000000001</v>
      </c>
      <c r="Z188" s="151">
        <f t="shared" si="15"/>
        <v>1720.1119500000002</v>
      </c>
      <c r="AA188" s="151">
        <f t="shared" si="12"/>
        <v>1754.5141890000002</v>
      </c>
      <c r="AB188" s="151">
        <f t="shared" si="13"/>
        <v>1755</v>
      </c>
      <c r="AC188" s="168">
        <v>1755</v>
      </c>
    </row>
    <row r="189" spans="1:29">
      <c r="A189" s="8">
        <v>7612</v>
      </c>
      <c r="B189" s="96"/>
      <c r="C189" s="10" t="s">
        <v>23</v>
      </c>
      <c r="D189" s="7" t="s">
        <v>16</v>
      </c>
      <c r="E189" s="11" t="s">
        <v>17</v>
      </c>
      <c r="F189" s="20"/>
      <c r="G189" s="16" t="s">
        <v>298</v>
      </c>
      <c r="H189" s="106">
        <v>45093</v>
      </c>
      <c r="I189" s="25">
        <v>45824</v>
      </c>
      <c r="J189" s="21">
        <v>25</v>
      </c>
      <c r="K189" s="16">
        <v>2</v>
      </c>
      <c r="L189" s="36" t="s">
        <v>326</v>
      </c>
      <c r="M189" s="50" t="s">
        <v>25</v>
      </c>
      <c r="N189" s="32" t="s">
        <v>200</v>
      </c>
      <c r="O189" s="159">
        <v>1755</v>
      </c>
      <c r="P189" s="19"/>
      <c r="Q189" s="110"/>
      <c r="R189" s="110"/>
      <c r="S189" s="110"/>
      <c r="T189" s="110"/>
      <c r="U189" s="110"/>
      <c r="V189" s="110"/>
      <c r="W189" s="110"/>
      <c r="X189" s="110">
        <v>1350</v>
      </c>
      <c r="Y189" s="151">
        <f t="shared" si="17"/>
        <v>1553.8500000000001</v>
      </c>
      <c r="Z189" s="151">
        <f t="shared" si="15"/>
        <v>1720.1119500000002</v>
      </c>
      <c r="AA189" s="151">
        <f t="shared" si="12"/>
        <v>1754.5141890000002</v>
      </c>
      <c r="AB189" s="151">
        <f t="shared" si="13"/>
        <v>1755</v>
      </c>
      <c r="AC189" s="168">
        <v>1755</v>
      </c>
    </row>
    <row r="190" spans="1:29">
      <c r="A190" s="8">
        <v>7613</v>
      </c>
      <c r="B190" s="9"/>
      <c r="C190" s="10" t="s">
        <v>23</v>
      </c>
      <c r="D190" s="7" t="s">
        <v>16</v>
      </c>
      <c r="E190" s="11" t="s">
        <v>17</v>
      </c>
      <c r="F190" s="20"/>
      <c r="G190" s="21" t="s">
        <v>19</v>
      </c>
      <c r="H190" s="106">
        <v>45093</v>
      </c>
      <c r="I190" s="25">
        <v>45824</v>
      </c>
      <c r="J190" s="21">
        <v>25</v>
      </c>
      <c r="K190" s="16">
        <v>2</v>
      </c>
      <c r="L190" s="36" t="s">
        <v>326</v>
      </c>
      <c r="M190" s="50" t="s">
        <v>25</v>
      </c>
      <c r="N190" s="32" t="s">
        <v>200</v>
      </c>
      <c r="O190" s="159">
        <v>1755</v>
      </c>
      <c r="P190" s="19"/>
      <c r="Q190" s="110"/>
      <c r="R190" s="110"/>
      <c r="S190" s="110"/>
      <c r="T190" s="110"/>
      <c r="U190" s="110"/>
      <c r="V190" s="110"/>
      <c r="W190" s="110"/>
      <c r="X190" s="110">
        <v>1350</v>
      </c>
      <c r="Y190" s="151">
        <f t="shared" si="17"/>
        <v>1553.8500000000001</v>
      </c>
      <c r="Z190" s="151">
        <f t="shared" si="15"/>
        <v>1720.1119500000002</v>
      </c>
      <c r="AA190" s="151">
        <f t="shared" si="12"/>
        <v>1754.5141890000002</v>
      </c>
      <c r="AB190" s="151">
        <f t="shared" si="13"/>
        <v>1755</v>
      </c>
      <c r="AC190" s="168">
        <v>1755</v>
      </c>
    </row>
    <row r="191" spans="1:29">
      <c r="A191" s="8">
        <v>7629</v>
      </c>
      <c r="B191" s="9"/>
      <c r="C191" s="9" t="s">
        <v>327</v>
      </c>
      <c r="D191" s="7" t="s">
        <v>16</v>
      </c>
      <c r="E191" s="11" t="s">
        <v>17</v>
      </c>
      <c r="F191" s="20"/>
      <c r="G191" s="16" t="s">
        <v>19</v>
      </c>
      <c r="H191" s="14">
        <v>45189</v>
      </c>
      <c r="I191" s="14">
        <v>45920</v>
      </c>
      <c r="J191" s="15">
        <v>25</v>
      </c>
      <c r="K191" s="16">
        <v>2</v>
      </c>
      <c r="L191" s="18" t="s">
        <v>328</v>
      </c>
      <c r="M191" s="107"/>
      <c r="N191" s="18" t="s">
        <v>329</v>
      </c>
      <c r="O191" s="159">
        <v>6217</v>
      </c>
      <c r="P191" s="19"/>
      <c r="Q191" s="110"/>
      <c r="R191" s="110"/>
      <c r="S191" s="110"/>
      <c r="T191" s="110"/>
      <c r="U191" s="110"/>
      <c r="V191" s="110"/>
      <c r="W191" s="110"/>
      <c r="X191" s="110">
        <v>4784</v>
      </c>
      <c r="Y191" s="151">
        <f t="shared" si="17"/>
        <v>5506.384</v>
      </c>
      <c r="Z191" s="151">
        <f t="shared" si="15"/>
        <v>6095.5670879999998</v>
      </c>
      <c r="AA191" s="151">
        <f t="shared" si="12"/>
        <v>6217.4784297599999</v>
      </c>
      <c r="AB191" s="151">
        <f t="shared" si="13"/>
        <v>6217</v>
      </c>
      <c r="AC191" s="168">
        <v>6217</v>
      </c>
    </row>
    <row r="192" spans="1:29">
      <c r="A192" s="8">
        <v>7653</v>
      </c>
      <c r="B192" s="9"/>
      <c r="C192" s="9" t="s">
        <v>330</v>
      </c>
      <c r="D192" s="7" t="s">
        <v>16</v>
      </c>
      <c r="E192" s="11" t="s">
        <v>17</v>
      </c>
      <c r="F192" s="23"/>
      <c r="G192" s="16" t="s">
        <v>298</v>
      </c>
      <c r="H192" s="14">
        <v>45072</v>
      </c>
      <c r="I192" s="14">
        <v>45803</v>
      </c>
      <c r="J192" s="15">
        <v>25</v>
      </c>
      <c r="K192" s="16">
        <v>2</v>
      </c>
      <c r="L192" s="64" t="s">
        <v>315</v>
      </c>
      <c r="M192" s="36" t="s">
        <v>331</v>
      </c>
      <c r="N192" s="64" t="s">
        <v>315</v>
      </c>
      <c r="O192" s="159">
        <v>2701</v>
      </c>
      <c r="P192" s="19"/>
      <c r="Q192" s="110"/>
      <c r="R192" s="110"/>
      <c r="S192" s="110"/>
      <c r="T192" s="110"/>
      <c r="U192" s="110"/>
      <c r="V192" s="110"/>
      <c r="W192" s="110"/>
      <c r="X192" s="110">
        <v>2078</v>
      </c>
      <c r="Y192" s="151">
        <f t="shared" si="17"/>
        <v>2391.7780000000002</v>
      </c>
      <c r="Z192" s="151">
        <f t="shared" si="15"/>
        <v>2647.6982460000004</v>
      </c>
      <c r="AA192" s="151">
        <f t="shared" si="12"/>
        <v>2700.6522109200005</v>
      </c>
      <c r="AB192" s="151">
        <f t="shared" si="13"/>
        <v>2701</v>
      </c>
      <c r="AC192" s="168">
        <v>2701</v>
      </c>
    </row>
    <row r="193" spans="1:29">
      <c r="A193" s="8">
        <v>7654</v>
      </c>
      <c r="B193" s="9"/>
      <c r="C193" s="9" t="s">
        <v>330</v>
      </c>
      <c r="D193" s="7" t="s">
        <v>16</v>
      </c>
      <c r="E193" s="11" t="s">
        <v>17</v>
      </c>
      <c r="F193" s="23"/>
      <c r="G193" s="16" t="s">
        <v>298</v>
      </c>
      <c r="H193" s="14">
        <v>45072</v>
      </c>
      <c r="I193" s="14">
        <v>45803</v>
      </c>
      <c r="J193" s="15">
        <v>25</v>
      </c>
      <c r="K193" s="16">
        <v>2</v>
      </c>
      <c r="L193" s="64" t="s">
        <v>315</v>
      </c>
      <c r="M193" s="36" t="s">
        <v>331</v>
      </c>
      <c r="N193" s="64" t="s">
        <v>315</v>
      </c>
      <c r="O193" s="159">
        <v>2701</v>
      </c>
      <c r="P193" s="19"/>
      <c r="Q193" s="110"/>
      <c r="R193" s="110"/>
      <c r="S193" s="110"/>
      <c r="T193" s="110"/>
      <c r="U193" s="110"/>
      <c r="V193" s="110"/>
      <c r="W193" s="110"/>
      <c r="X193" s="110">
        <v>2078</v>
      </c>
      <c r="Y193" s="151">
        <f t="shared" si="17"/>
        <v>2391.7780000000002</v>
      </c>
      <c r="Z193" s="151">
        <f t="shared" si="15"/>
        <v>2647.6982460000004</v>
      </c>
      <c r="AA193" s="151">
        <f t="shared" si="12"/>
        <v>2700.6522109200005</v>
      </c>
      <c r="AB193" s="151">
        <f t="shared" si="13"/>
        <v>2701</v>
      </c>
      <c r="AC193" s="168">
        <v>2701</v>
      </c>
    </row>
    <row r="194" spans="1:29">
      <c r="A194" s="8">
        <v>7658</v>
      </c>
      <c r="B194" s="9"/>
      <c r="C194" s="9" t="s">
        <v>34</v>
      </c>
      <c r="D194" s="7" t="s">
        <v>16</v>
      </c>
      <c r="E194" s="11" t="s">
        <v>17</v>
      </c>
      <c r="F194" s="23"/>
      <c r="G194" s="16" t="s">
        <v>19</v>
      </c>
      <c r="H194" s="108">
        <v>45034</v>
      </c>
      <c r="I194" s="108">
        <v>45765</v>
      </c>
      <c r="J194" s="105">
        <v>25</v>
      </c>
      <c r="K194" s="16">
        <v>2</v>
      </c>
      <c r="L194" s="61" t="s">
        <v>312</v>
      </c>
      <c r="M194" s="41" t="s">
        <v>313</v>
      </c>
      <c r="N194" s="44" t="s">
        <v>206</v>
      </c>
      <c r="O194" s="159">
        <v>1094</v>
      </c>
      <c r="P194" s="19"/>
      <c r="Q194" s="110"/>
      <c r="R194" s="110"/>
      <c r="S194" s="110"/>
      <c r="T194" s="110"/>
      <c r="U194" s="110"/>
      <c r="V194" s="110"/>
      <c r="W194" s="110"/>
      <c r="X194" s="110">
        <v>842</v>
      </c>
      <c r="Y194" s="151">
        <f t="shared" si="17"/>
        <v>969.14200000000005</v>
      </c>
      <c r="Z194" s="151">
        <f t="shared" si="15"/>
        <v>1072.8401940000001</v>
      </c>
      <c r="AA194" s="151">
        <f t="shared" ref="AA194:AA257" si="18">+Z194*(1+$Y$3)</f>
        <v>1094.2969978800002</v>
      </c>
      <c r="AB194" s="151">
        <f t="shared" ref="AB194:AB257" si="19">ROUND(AA194,0)</f>
        <v>1094</v>
      </c>
      <c r="AC194" s="168">
        <v>1094</v>
      </c>
    </row>
    <row r="195" spans="1:29">
      <c r="A195" s="8">
        <v>7702</v>
      </c>
      <c r="B195" s="85"/>
      <c r="C195" s="9" t="s">
        <v>196</v>
      </c>
      <c r="D195" s="7" t="s">
        <v>16</v>
      </c>
      <c r="E195" s="11" t="s">
        <v>17</v>
      </c>
      <c r="F195" s="23"/>
      <c r="G195" s="13" t="s">
        <v>19</v>
      </c>
      <c r="H195" s="14">
        <v>45075</v>
      </c>
      <c r="I195" s="14">
        <v>45806</v>
      </c>
      <c r="J195" s="15">
        <v>25</v>
      </c>
      <c r="K195" s="16">
        <v>2</v>
      </c>
      <c r="L195" s="36" t="s">
        <v>197</v>
      </c>
      <c r="M195" s="50" t="s">
        <v>198</v>
      </c>
      <c r="N195" s="36" t="s">
        <v>197</v>
      </c>
      <c r="O195" s="154">
        <v>25286</v>
      </c>
      <c r="P195" s="19"/>
      <c r="Q195" s="110"/>
      <c r="R195" s="110"/>
      <c r="S195" s="110"/>
      <c r="T195" s="110"/>
      <c r="U195" s="110"/>
      <c r="V195" s="110"/>
      <c r="W195" s="110"/>
      <c r="X195" s="110">
        <v>19456</v>
      </c>
      <c r="Y195" s="151">
        <f t="shared" si="17"/>
        <v>22393.856</v>
      </c>
      <c r="Z195" s="151">
        <f t="shared" si="15"/>
        <v>24789.998592</v>
      </c>
      <c r="AA195" s="151">
        <f t="shared" si="18"/>
        <v>25285.798563839999</v>
      </c>
      <c r="AB195" s="151">
        <f t="shared" si="19"/>
        <v>25286</v>
      </c>
      <c r="AC195" s="168">
        <v>25286</v>
      </c>
    </row>
    <row r="196" spans="1:29">
      <c r="A196" s="8">
        <v>7703</v>
      </c>
      <c r="B196" s="85"/>
      <c r="C196" s="9" t="s">
        <v>196</v>
      </c>
      <c r="D196" s="7" t="s">
        <v>16</v>
      </c>
      <c r="E196" s="11" t="s">
        <v>17</v>
      </c>
      <c r="F196" s="38"/>
      <c r="G196" s="13" t="s">
        <v>19</v>
      </c>
      <c r="H196" s="14">
        <v>45097</v>
      </c>
      <c r="I196" s="14">
        <v>45828</v>
      </c>
      <c r="J196" s="15">
        <v>25</v>
      </c>
      <c r="K196" s="16">
        <v>2</v>
      </c>
      <c r="L196" s="36" t="s">
        <v>197</v>
      </c>
      <c r="M196" s="50" t="s">
        <v>198</v>
      </c>
      <c r="N196" s="36" t="s">
        <v>197</v>
      </c>
      <c r="O196" s="154">
        <v>20378</v>
      </c>
      <c r="P196" s="19"/>
      <c r="Q196" s="110"/>
      <c r="R196" s="110"/>
      <c r="S196" s="110"/>
      <c r="T196" s="110"/>
      <c r="U196" s="110"/>
      <c r="V196" s="110"/>
      <c r="W196" s="110"/>
      <c r="X196" s="110">
        <v>15680</v>
      </c>
      <c r="Y196" s="151">
        <f t="shared" si="17"/>
        <v>18047.68</v>
      </c>
      <c r="Z196" s="151">
        <f t="shared" si="15"/>
        <v>19978.781760000002</v>
      </c>
      <c r="AA196" s="151">
        <f t="shared" si="18"/>
        <v>20378.357395200001</v>
      </c>
      <c r="AB196" s="151">
        <f t="shared" si="19"/>
        <v>20378</v>
      </c>
      <c r="AC196" s="168">
        <v>20378</v>
      </c>
    </row>
    <row r="197" spans="1:29">
      <c r="A197" s="8">
        <v>7728</v>
      </c>
      <c r="B197" s="9"/>
      <c r="C197" s="10" t="s">
        <v>434</v>
      </c>
      <c r="D197" s="7" t="s">
        <v>16</v>
      </c>
      <c r="E197" s="11" t="s">
        <v>17</v>
      </c>
      <c r="F197" s="20" t="s">
        <v>295</v>
      </c>
      <c r="G197" s="16" t="s">
        <v>298</v>
      </c>
      <c r="H197" s="106">
        <v>45519</v>
      </c>
      <c r="I197" s="106">
        <v>45884</v>
      </c>
      <c r="J197" s="105">
        <v>25</v>
      </c>
      <c r="K197" s="16">
        <v>4</v>
      </c>
      <c r="L197" s="29" t="s">
        <v>332</v>
      </c>
      <c r="M197" s="36"/>
      <c r="N197" s="36"/>
      <c r="O197" s="155"/>
      <c r="P197" s="145"/>
      <c r="Q197" s="146"/>
      <c r="R197" s="146"/>
      <c r="S197" s="146"/>
      <c r="T197" s="146"/>
      <c r="U197" s="146"/>
      <c r="V197" s="146"/>
      <c r="W197" s="146"/>
      <c r="X197" s="146"/>
      <c r="Y197" s="146">
        <f t="shared" si="17"/>
        <v>0</v>
      </c>
      <c r="Z197" s="146">
        <f t="shared" si="15"/>
        <v>0</v>
      </c>
      <c r="AA197" s="146">
        <f t="shared" si="18"/>
        <v>0</v>
      </c>
      <c r="AB197" s="146">
        <f t="shared" si="19"/>
        <v>0</v>
      </c>
      <c r="AC197" s="168"/>
    </row>
    <row r="198" spans="1:29">
      <c r="A198" s="8">
        <v>7735</v>
      </c>
      <c r="B198" s="9"/>
      <c r="C198" s="9" t="s">
        <v>61</v>
      </c>
      <c r="D198" s="7" t="s">
        <v>16</v>
      </c>
      <c r="E198" s="11" t="s">
        <v>17</v>
      </c>
      <c r="F198" s="20"/>
      <c r="G198" s="21" t="s">
        <v>19</v>
      </c>
      <c r="H198" s="14">
        <v>45245</v>
      </c>
      <c r="I198" s="14">
        <v>45976</v>
      </c>
      <c r="J198" s="15">
        <v>25</v>
      </c>
      <c r="K198" s="16">
        <v>2</v>
      </c>
      <c r="L198" s="32" t="s">
        <v>115</v>
      </c>
      <c r="M198" s="29" t="s">
        <v>333</v>
      </c>
      <c r="N198" s="36" t="s">
        <v>334</v>
      </c>
      <c r="O198" s="159">
        <v>2550</v>
      </c>
      <c r="P198" s="19" t="s">
        <v>432</v>
      </c>
      <c r="Q198" s="110"/>
      <c r="R198" s="110"/>
      <c r="S198" s="110"/>
      <c r="T198" s="110"/>
      <c r="U198" s="110"/>
      <c r="V198" s="110"/>
      <c r="W198" s="110"/>
      <c r="X198" s="110">
        <v>1280</v>
      </c>
      <c r="Y198" s="151">
        <f t="shared" si="17"/>
        <v>1473.28</v>
      </c>
      <c r="Z198" s="151">
        <f t="shared" si="15"/>
        <v>1630.9209599999999</v>
      </c>
      <c r="AA198" s="151">
        <f t="shared" si="18"/>
        <v>1663.5393792</v>
      </c>
      <c r="AB198" s="151">
        <f t="shared" si="19"/>
        <v>1664</v>
      </c>
      <c r="AC198" s="168">
        <v>2550</v>
      </c>
    </row>
    <row r="199" spans="1:29">
      <c r="A199" s="8">
        <v>7749</v>
      </c>
      <c r="B199" s="9"/>
      <c r="C199" s="9" t="s">
        <v>249</v>
      </c>
      <c r="D199" s="7" t="s">
        <v>16</v>
      </c>
      <c r="E199" s="11" t="s">
        <v>17</v>
      </c>
      <c r="F199" s="23"/>
      <c r="G199" s="16" t="s">
        <v>298</v>
      </c>
      <c r="H199" s="108">
        <v>45034</v>
      </c>
      <c r="I199" s="108">
        <v>45765</v>
      </c>
      <c r="J199" s="105">
        <v>25</v>
      </c>
      <c r="K199" s="16">
        <v>2</v>
      </c>
      <c r="L199" s="29" t="s">
        <v>335</v>
      </c>
      <c r="M199" s="50" t="s">
        <v>254</v>
      </c>
      <c r="N199" s="32" t="s">
        <v>255</v>
      </c>
      <c r="O199" s="159">
        <v>1446</v>
      </c>
      <c r="P199" s="19"/>
      <c r="Q199" s="110"/>
      <c r="R199" s="110"/>
      <c r="S199" s="110"/>
      <c r="T199" s="110"/>
      <c r="U199" s="110"/>
      <c r="V199" s="110"/>
      <c r="W199" s="110"/>
      <c r="X199" s="110">
        <v>1113</v>
      </c>
      <c r="Y199" s="151">
        <f t="shared" si="17"/>
        <v>1281.0630000000001</v>
      </c>
      <c r="Z199" s="151">
        <f t="shared" si="15"/>
        <v>1418.136741</v>
      </c>
      <c r="AA199" s="151">
        <f t="shared" si="18"/>
        <v>1446.49947582</v>
      </c>
      <c r="AB199" s="151">
        <f t="shared" si="19"/>
        <v>1446</v>
      </c>
      <c r="AC199" s="168">
        <v>1446</v>
      </c>
    </row>
    <row r="200" spans="1:29">
      <c r="A200" s="8">
        <v>7754</v>
      </c>
      <c r="B200" s="9"/>
      <c r="C200" s="9" t="s">
        <v>249</v>
      </c>
      <c r="D200" s="7" t="s">
        <v>16</v>
      </c>
      <c r="E200" s="11" t="s">
        <v>17</v>
      </c>
      <c r="F200" s="23"/>
      <c r="G200" s="16" t="s">
        <v>298</v>
      </c>
      <c r="H200" s="108">
        <v>45033</v>
      </c>
      <c r="I200" s="108">
        <v>45764</v>
      </c>
      <c r="J200" s="105">
        <v>25</v>
      </c>
      <c r="K200" s="16">
        <v>2</v>
      </c>
      <c r="L200" s="29" t="s">
        <v>335</v>
      </c>
      <c r="M200" s="50" t="s">
        <v>254</v>
      </c>
      <c r="N200" s="32" t="s">
        <v>255</v>
      </c>
      <c r="O200" s="159">
        <v>1446</v>
      </c>
      <c r="P200" s="19"/>
      <c r="Q200" s="110"/>
      <c r="R200" s="110"/>
      <c r="S200" s="110"/>
      <c r="T200" s="110"/>
      <c r="U200" s="110"/>
      <c r="V200" s="110"/>
      <c r="W200" s="110"/>
      <c r="X200" s="110">
        <v>1113</v>
      </c>
      <c r="Y200" s="151">
        <f t="shared" si="17"/>
        <v>1281.0630000000001</v>
      </c>
      <c r="Z200" s="151">
        <f t="shared" si="15"/>
        <v>1418.136741</v>
      </c>
      <c r="AA200" s="151">
        <f t="shared" si="18"/>
        <v>1446.49947582</v>
      </c>
      <c r="AB200" s="151">
        <f t="shared" si="19"/>
        <v>1446</v>
      </c>
      <c r="AC200" s="168">
        <v>1446</v>
      </c>
    </row>
    <row r="201" spans="1:29">
      <c r="A201" s="8">
        <v>7798</v>
      </c>
      <c r="B201" s="9"/>
      <c r="C201" s="9" t="s">
        <v>34</v>
      </c>
      <c r="D201" s="7" t="s">
        <v>16</v>
      </c>
      <c r="E201" s="11" t="s">
        <v>17</v>
      </c>
      <c r="F201" s="20"/>
      <c r="G201" s="13" t="s">
        <v>298</v>
      </c>
      <c r="H201" s="14">
        <v>45121</v>
      </c>
      <c r="I201" s="14">
        <v>45852</v>
      </c>
      <c r="J201" s="105">
        <v>25</v>
      </c>
      <c r="K201" s="16">
        <v>2</v>
      </c>
      <c r="L201" s="109" t="s">
        <v>190</v>
      </c>
      <c r="M201" s="50" t="s">
        <v>336</v>
      </c>
      <c r="N201" s="36" t="s">
        <v>190</v>
      </c>
      <c r="O201" s="159">
        <v>2754</v>
      </c>
      <c r="P201" s="19"/>
      <c r="Q201" s="110"/>
      <c r="R201" s="110"/>
      <c r="S201" s="110"/>
      <c r="T201" s="110"/>
      <c r="U201" s="110"/>
      <c r="V201" s="110"/>
      <c r="W201" s="110"/>
      <c r="X201" s="110">
        <v>2119</v>
      </c>
      <c r="Y201" s="151">
        <f t="shared" si="17"/>
        <v>2438.9690000000001</v>
      </c>
      <c r="Z201" s="151">
        <f t="shared" si="15"/>
        <v>2699.9386829999999</v>
      </c>
      <c r="AA201" s="151">
        <f t="shared" si="18"/>
        <v>2753.93745666</v>
      </c>
      <c r="AB201" s="151">
        <f t="shared" si="19"/>
        <v>2754</v>
      </c>
      <c r="AC201" s="168">
        <v>2754</v>
      </c>
    </row>
    <row r="202" spans="1:29">
      <c r="A202" s="8">
        <v>7800</v>
      </c>
      <c r="B202" s="9"/>
      <c r="C202" s="9" t="s">
        <v>337</v>
      </c>
      <c r="D202" s="110" t="s">
        <v>16</v>
      </c>
      <c r="E202" s="11" t="s">
        <v>17</v>
      </c>
      <c r="F202" s="23"/>
      <c r="G202" s="16" t="s">
        <v>19</v>
      </c>
      <c r="H202" s="25">
        <v>45405</v>
      </c>
      <c r="I202" s="25">
        <v>45770</v>
      </c>
      <c r="J202" s="15">
        <v>25</v>
      </c>
      <c r="K202" s="13">
        <v>1</v>
      </c>
      <c r="L202" s="111" t="s">
        <v>338</v>
      </c>
      <c r="M202" s="41" t="s">
        <v>339</v>
      </c>
      <c r="N202" s="49"/>
      <c r="O202" s="159">
        <v>22063</v>
      </c>
      <c r="P202" s="19"/>
      <c r="Q202" s="110"/>
      <c r="R202" s="110"/>
      <c r="S202" s="110"/>
      <c r="T202" s="110"/>
      <c r="U202" s="110"/>
      <c r="V202" s="110"/>
      <c r="W202" s="110"/>
      <c r="X202" s="110"/>
      <c r="Y202" s="110">
        <v>19540</v>
      </c>
      <c r="Z202" s="151">
        <f t="shared" si="15"/>
        <v>21630.78</v>
      </c>
      <c r="AA202" s="151">
        <f t="shared" si="18"/>
        <v>22063.3956</v>
      </c>
      <c r="AB202" s="151">
        <f t="shared" si="19"/>
        <v>22063</v>
      </c>
      <c r="AC202" s="168">
        <v>22063</v>
      </c>
    </row>
    <row r="203" spans="1:29">
      <c r="A203" s="8">
        <v>7841</v>
      </c>
      <c r="B203" s="9"/>
      <c r="C203" s="10" t="s">
        <v>85</v>
      </c>
      <c r="D203" s="7" t="s">
        <v>16</v>
      </c>
      <c r="E203" s="11" t="s">
        <v>17</v>
      </c>
      <c r="F203" s="38"/>
      <c r="G203" s="27" t="s">
        <v>19</v>
      </c>
      <c r="H203" s="112">
        <v>45450</v>
      </c>
      <c r="I203" s="25">
        <v>45815</v>
      </c>
      <c r="J203" s="15">
        <v>25</v>
      </c>
      <c r="K203" s="16">
        <v>1</v>
      </c>
      <c r="L203" s="64" t="s">
        <v>340</v>
      </c>
      <c r="M203" s="36" t="s">
        <v>341</v>
      </c>
      <c r="N203" s="113" t="s">
        <v>255</v>
      </c>
      <c r="O203" s="159">
        <v>5234</v>
      </c>
      <c r="P203" s="19"/>
      <c r="Q203" s="110"/>
      <c r="R203" s="110"/>
      <c r="S203" s="110"/>
      <c r="T203" s="110"/>
      <c r="U203" s="110"/>
      <c r="V203" s="110"/>
      <c r="W203" s="110"/>
      <c r="X203" s="110"/>
      <c r="Y203" s="110">
        <v>4635</v>
      </c>
      <c r="Z203" s="151">
        <f t="shared" si="15"/>
        <v>5130.9449999999997</v>
      </c>
      <c r="AA203" s="151">
        <f t="shared" si="18"/>
        <v>5233.5639000000001</v>
      </c>
      <c r="AB203" s="151">
        <f t="shared" si="19"/>
        <v>5234</v>
      </c>
      <c r="AC203" s="168">
        <v>5234</v>
      </c>
    </row>
    <row r="204" spans="1:29">
      <c r="A204" s="8">
        <v>7850</v>
      </c>
      <c r="B204" s="9"/>
      <c r="C204" s="10" t="s">
        <v>342</v>
      </c>
      <c r="D204" s="7" t="s">
        <v>16</v>
      </c>
      <c r="E204" s="11" t="s">
        <v>17</v>
      </c>
      <c r="F204" s="23"/>
      <c r="G204" s="13" t="s">
        <v>298</v>
      </c>
      <c r="H204" s="14">
        <v>45404</v>
      </c>
      <c r="I204" s="14">
        <v>45769</v>
      </c>
      <c r="J204" s="15">
        <v>25</v>
      </c>
      <c r="K204" s="16">
        <v>1</v>
      </c>
      <c r="L204" s="29" t="s">
        <v>343</v>
      </c>
      <c r="M204" s="18" t="s">
        <v>344</v>
      </c>
      <c r="N204" s="18"/>
      <c r="O204" s="154">
        <v>13490</v>
      </c>
      <c r="P204" s="19"/>
      <c r="Q204" s="110"/>
      <c r="R204" s="110"/>
      <c r="S204" s="110"/>
      <c r="T204" s="110"/>
      <c r="U204" s="110"/>
      <c r="V204" s="110"/>
      <c r="W204" s="110"/>
      <c r="X204" s="110"/>
      <c r="Y204" s="110">
        <v>11947</v>
      </c>
      <c r="Z204" s="151">
        <f t="shared" si="15"/>
        <v>13225.329</v>
      </c>
      <c r="AA204" s="151">
        <f t="shared" si="18"/>
        <v>13489.835580000001</v>
      </c>
      <c r="AB204" s="151">
        <f t="shared" si="19"/>
        <v>13490</v>
      </c>
      <c r="AC204" s="168">
        <v>13490</v>
      </c>
    </row>
    <row r="205" spans="1:29">
      <c r="A205" s="8">
        <v>7854</v>
      </c>
      <c r="B205" s="9"/>
      <c r="C205" s="10" t="s">
        <v>345</v>
      </c>
      <c r="D205" s="7" t="s">
        <v>16</v>
      </c>
      <c r="E205" s="11" t="s">
        <v>17</v>
      </c>
      <c r="F205" s="20"/>
      <c r="G205" s="13" t="s">
        <v>19</v>
      </c>
      <c r="H205" s="14">
        <v>44817</v>
      </c>
      <c r="I205" s="14">
        <v>45913</v>
      </c>
      <c r="J205" s="15">
        <v>25</v>
      </c>
      <c r="K205" s="16">
        <v>3</v>
      </c>
      <c r="L205" s="109" t="s">
        <v>346</v>
      </c>
      <c r="M205" s="18" t="s">
        <v>347</v>
      </c>
      <c r="N205" s="109" t="s">
        <v>348</v>
      </c>
      <c r="O205" s="154">
        <v>3103</v>
      </c>
      <c r="P205" s="19"/>
      <c r="Q205" s="110"/>
      <c r="R205" s="110"/>
      <c r="S205" s="110"/>
      <c r="T205" s="110"/>
      <c r="U205" s="110"/>
      <c r="V205" s="110"/>
      <c r="W205" s="110">
        <v>2300</v>
      </c>
      <c r="X205" s="151">
        <f>+W205*(1+$V$3)</f>
        <v>2387.4</v>
      </c>
      <c r="Y205" s="151">
        <f>+X205*(1+$W$3)</f>
        <v>2747.8974000000003</v>
      </c>
      <c r="Z205" s="151">
        <f t="shared" si="15"/>
        <v>3041.9224218000004</v>
      </c>
      <c r="AA205" s="151">
        <f t="shared" si="18"/>
        <v>3102.7608702360003</v>
      </c>
      <c r="AB205" s="151">
        <f t="shared" si="19"/>
        <v>3103</v>
      </c>
      <c r="AC205" s="168">
        <v>3103</v>
      </c>
    </row>
    <row r="206" spans="1:29">
      <c r="A206" s="8">
        <v>7862</v>
      </c>
      <c r="B206" s="10"/>
      <c r="C206" s="10" t="s">
        <v>342</v>
      </c>
      <c r="D206" s="7" t="s">
        <v>16</v>
      </c>
      <c r="E206" s="11" t="s">
        <v>17</v>
      </c>
      <c r="F206" s="12"/>
      <c r="G206" s="16" t="s">
        <v>298</v>
      </c>
      <c r="H206" s="108">
        <v>44763</v>
      </c>
      <c r="I206" s="108">
        <v>45859</v>
      </c>
      <c r="J206" s="105">
        <v>25</v>
      </c>
      <c r="K206" s="16">
        <v>3</v>
      </c>
      <c r="L206" s="36" t="s">
        <v>349</v>
      </c>
      <c r="M206" s="36" t="s">
        <v>350</v>
      </c>
      <c r="N206" s="44"/>
      <c r="O206" s="154">
        <v>13490</v>
      </c>
      <c r="P206" s="19"/>
      <c r="Q206" s="110"/>
      <c r="R206" s="110"/>
      <c r="S206" s="110"/>
      <c r="T206" s="110"/>
      <c r="U206" s="110"/>
      <c r="V206" s="110"/>
      <c r="W206" s="110"/>
      <c r="X206" s="110"/>
      <c r="Y206" s="110"/>
      <c r="Z206" s="151"/>
      <c r="AA206" s="151"/>
      <c r="AB206" s="151"/>
      <c r="AC206" s="168">
        <v>13490</v>
      </c>
    </row>
    <row r="207" spans="1:29">
      <c r="A207" s="8">
        <v>7864</v>
      </c>
      <c r="B207" s="10" t="s">
        <v>48</v>
      </c>
      <c r="C207" s="10" t="s">
        <v>351</v>
      </c>
      <c r="D207" s="7" t="s">
        <v>16</v>
      </c>
      <c r="E207" s="11" t="s">
        <v>17</v>
      </c>
      <c r="F207" s="12" t="s">
        <v>352</v>
      </c>
      <c r="G207" s="16" t="s">
        <v>19</v>
      </c>
      <c r="H207" s="108">
        <v>45587</v>
      </c>
      <c r="I207" s="108">
        <v>45952</v>
      </c>
      <c r="J207" s="105">
        <v>25</v>
      </c>
      <c r="K207" s="16">
        <v>1</v>
      </c>
      <c r="L207" s="114" t="s">
        <v>353</v>
      </c>
      <c r="M207" s="18" t="s">
        <v>354</v>
      </c>
      <c r="N207" s="34">
        <v>0.01</v>
      </c>
      <c r="O207" s="159">
        <v>12602</v>
      </c>
      <c r="P207" s="19"/>
      <c r="Q207" s="110"/>
      <c r="R207" s="110"/>
      <c r="S207" s="110"/>
      <c r="T207" s="110"/>
      <c r="U207" s="110"/>
      <c r="V207" s="110"/>
      <c r="W207" s="110"/>
      <c r="X207" s="110"/>
      <c r="Y207" s="110">
        <v>11161</v>
      </c>
      <c r="Z207" s="151">
        <f t="shared" si="15"/>
        <v>12355.226999999999</v>
      </c>
      <c r="AA207" s="151">
        <f t="shared" si="18"/>
        <v>12602.331539999999</v>
      </c>
      <c r="AB207" s="151">
        <f t="shared" si="19"/>
        <v>12602</v>
      </c>
      <c r="AC207" s="168">
        <v>12602</v>
      </c>
    </row>
    <row r="208" spans="1:29">
      <c r="A208" s="8">
        <v>7891</v>
      </c>
      <c r="B208" s="9"/>
      <c r="C208" s="9" t="s">
        <v>355</v>
      </c>
      <c r="D208" s="7" t="s">
        <v>16</v>
      </c>
      <c r="E208" s="11" t="s">
        <v>17</v>
      </c>
      <c r="F208" s="12"/>
      <c r="G208" s="16" t="s">
        <v>298</v>
      </c>
      <c r="H208" s="108">
        <v>44858</v>
      </c>
      <c r="I208" s="108">
        <v>45771</v>
      </c>
      <c r="J208" s="15">
        <v>25</v>
      </c>
      <c r="K208" s="16">
        <v>2</v>
      </c>
      <c r="L208" s="36" t="s">
        <v>250</v>
      </c>
      <c r="M208" s="36" t="s">
        <v>356</v>
      </c>
      <c r="N208" s="36" t="s">
        <v>190</v>
      </c>
      <c r="O208" s="154">
        <v>1447</v>
      </c>
      <c r="P208" s="145"/>
      <c r="Q208" s="146"/>
      <c r="R208" s="146"/>
      <c r="S208" s="146"/>
      <c r="T208" s="146"/>
      <c r="U208" s="146"/>
      <c r="V208" s="146"/>
      <c r="W208" s="146"/>
      <c r="X208" s="146"/>
      <c r="Y208" s="146"/>
      <c r="Z208" s="151"/>
      <c r="AA208" s="151"/>
      <c r="AB208" s="151"/>
      <c r="AC208" s="168">
        <v>1447</v>
      </c>
    </row>
    <row r="209" spans="1:29">
      <c r="A209" s="8">
        <v>7892</v>
      </c>
      <c r="B209" s="9"/>
      <c r="C209" s="9" t="s">
        <v>355</v>
      </c>
      <c r="D209" s="7" t="s">
        <v>16</v>
      </c>
      <c r="E209" s="11" t="s">
        <v>17</v>
      </c>
      <c r="F209" s="12"/>
      <c r="G209" s="16" t="s">
        <v>298</v>
      </c>
      <c r="H209" s="108">
        <v>44858</v>
      </c>
      <c r="I209" s="108">
        <v>45771</v>
      </c>
      <c r="J209" s="15">
        <v>25</v>
      </c>
      <c r="K209" s="16">
        <v>2</v>
      </c>
      <c r="L209" s="36" t="s">
        <v>250</v>
      </c>
      <c r="M209" s="36" t="s">
        <v>356</v>
      </c>
      <c r="N209" s="36" t="s">
        <v>190</v>
      </c>
      <c r="O209" s="154">
        <v>1447</v>
      </c>
      <c r="P209" s="145"/>
      <c r="Q209" s="146"/>
      <c r="R209" s="146"/>
      <c r="S209" s="146"/>
      <c r="T209" s="146"/>
      <c r="U209" s="146"/>
      <c r="V209" s="146"/>
      <c r="W209" s="146"/>
      <c r="X209" s="146"/>
      <c r="Y209" s="146"/>
      <c r="Z209" s="151"/>
      <c r="AA209" s="151"/>
      <c r="AB209" s="151"/>
      <c r="AC209" s="168">
        <v>1447</v>
      </c>
    </row>
    <row r="210" spans="1:29">
      <c r="A210" s="8">
        <v>7893</v>
      </c>
      <c r="B210" s="9"/>
      <c r="C210" s="9" t="s">
        <v>355</v>
      </c>
      <c r="D210" s="7" t="s">
        <v>16</v>
      </c>
      <c r="E210" s="11" t="s">
        <v>17</v>
      </c>
      <c r="F210" s="12"/>
      <c r="G210" s="16" t="s">
        <v>298</v>
      </c>
      <c r="H210" s="108">
        <v>44858</v>
      </c>
      <c r="I210" s="108">
        <v>45771</v>
      </c>
      <c r="J210" s="15">
        <v>25</v>
      </c>
      <c r="K210" s="16">
        <v>2</v>
      </c>
      <c r="L210" s="95" t="s">
        <v>357</v>
      </c>
      <c r="M210" s="36" t="s">
        <v>356</v>
      </c>
      <c r="N210" s="36" t="s">
        <v>358</v>
      </c>
      <c r="O210" s="154">
        <v>1447</v>
      </c>
      <c r="P210" s="145"/>
      <c r="Q210" s="146"/>
      <c r="R210" s="146"/>
      <c r="S210" s="146"/>
      <c r="T210" s="146"/>
      <c r="U210" s="146"/>
      <c r="V210" s="146"/>
      <c r="W210" s="146"/>
      <c r="X210" s="146"/>
      <c r="Y210" s="146"/>
      <c r="Z210" s="151"/>
      <c r="AA210" s="151"/>
      <c r="AB210" s="151"/>
      <c r="AC210" s="168">
        <v>1447</v>
      </c>
    </row>
    <row r="211" spans="1:29">
      <c r="A211" s="8">
        <v>7894</v>
      </c>
      <c r="B211" s="9"/>
      <c r="C211" s="9" t="s">
        <v>355</v>
      </c>
      <c r="D211" s="7" t="s">
        <v>16</v>
      </c>
      <c r="E211" s="11" t="s">
        <v>17</v>
      </c>
      <c r="F211" s="12"/>
      <c r="G211" s="16" t="s">
        <v>298</v>
      </c>
      <c r="H211" s="108">
        <v>44858</v>
      </c>
      <c r="I211" s="108">
        <v>45771</v>
      </c>
      <c r="J211" s="15">
        <v>25</v>
      </c>
      <c r="K211" s="16">
        <v>2</v>
      </c>
      <c r="L211" s="95" t="s">
        <v>357</v>
      </c>
      <c r="M211" s="36" t="s">
        <v>356</v>
      </c>
      <c r="N211" s="36" t="s">
        <v>358</v>
      </c>
      <c r="O211" s="154">
        <v>1447</v>
      </c>
      <c r="P211" s="145"/>
      <c r="Q211" s="146"/>
      <c r="R211" s="146"/>
      <c r="S211" s="146"/>
      <c r="T211" s="146"/>
      <c r="U211" s="146"/>
      <c r="V211" s="146"/>
      <c r="W211" s="146"/>
      <c r="X211" s="146"/>
      <c r="Y211" s="146"/>
      <c r="Z211" s="151"/>
      <c r="AA211" s="151"/>
      <c r="AB211" s="151"/>
      <c r="AC211" s="168">
        <v>1447</v>
      </c>
    </row>
    <row r="212" spans="1:29">
      <c r="A212" s="8">
        <v>7913</v>
      </c>
      <c r="B212" s="10" t="s">
        <v>45</v>
      </c>
      <c r="C212" s="9" t="s">
        <v>247</v>
      </c>
      <c r="D212" s="7" t="s">
        <v>16</v>
      </c>
      <c r="E212" s="11" t="s">
        <v>17</v>
      </c>
      <c r="F212" s="38"/>
      <c r="G212" s="16" t="s">
        <v>19</v>
      </c>
      <c r="H212" s="108">
        <v>45454</v>
      </c>
      <c r="I212" s="106">
        <v>45819</v>
      </c>
      <c r="J212" s="105">
        <v>25</v>
      </c>
      <c r="K212" s="16">
        <v>1</v>
      </c>
      <c r="L212" s="92">
        <v>0.05</v>
      </c>
      <c r="M212" s="29" t="s">
        <v>248</v>
      </c>
      <c r="N212" s="36"/>
      <c r="O212" s="163">
        <v>5517</v>
      </c>
      <c r="P212" s="19"/>
      <c r="Q212" s="110"/>
      <c r="R212" s="110"/>
      <c r="S212" s="110"/>
      <c r="T212" s="110"/>
      <c r="U212" s="110"/>
      <c r="V212" s="110"/>
      <c r="W212" s="110"/>
      <c r="X212" s="110"/>
      <c r="Y212" s="110">
        <v>4886</v>
      </c>
      <c r="Z212" s="151">
        <f t="shared" ref="Z212:Z262" si="20">+Y212*(1+$X$3)</f>
        <v>5408.8019999999997</v>
      </c>
      <c r="AA212" s="151">
        <f t="shared" si="18"/>
        <v>5516.97804</v>
      </c>
      <c r="AB212" s="151">
        <f t="shared" si="19"/>
        <v>5517</v>
      </c>
      <c r="AC212" s="168">
        <v>5517</v>
      </c>
    </row>
    <row r="213" spans="1:29">
      <c r="A213" s="8">
        <v>7915</v>
      </c>
      <c r="B213" s="9"/>
      <c r="C213" s="9" t="s">
        <v>359</v>
      </c>
      <c r="D213" s="7" t="s">
        <v>16</v>
      </c>
      <c r="E213" s="11" t="s">
        <v>17</v>
      </c>
      <c r="F213" s="12"/>
      <c r="G213" s="13" t="s">
        <v>19</v>
      </c>
      <c r="H213" s="108">
        <v>44907</v>
      </c>
      <c r="I213" s="108">
        <v>45759</v>
      </c>
      <c r="J213" s="15">
        <v>25</v>
      </c>
      <c r="K213" s="16">
        <v>2</v>
      </c>
      <c r="L213" s="36" t="s">
        <v>256</v>
      </c>
      <c r="M213" s="50" t="s">
        <v>360</v>
      </c>
      <c r="N213" s="36" t="s">
        <v>190</v>
      </c>
      <c r="O213" s="159">
        <v>2361</v>
      </c>
      <c r="P213" s="19"/>
      <c r="Q213" s="110"/>
      <c r="R213" s="110"/>
      <c r="S213" s="110"/>
      <c r="T213" s="110"/>
      <c r="U213" s="110"/>
      <c r="V213" s="110"/>
      <c r="W213" s="110">
        <v>1750</v>
      </c>
      <c r="X213" s="110">
        <f>+W213*(1+$V$3)</f>
        <v>1816.5</v>
      </c>
      <c r="Y213" s="151">
        <f>+X213*(1+$W$3)</f>
        <v>2090.7915000000003</v>
      </c>
      <c r="Z213" s="151">
        <f t="shared" si="20"/>
        <v>2314.5061905000002</v>
      </c>
      <c r="AA213" s="151">
        <f t="shared" si="18"/>
        <v>2360.7963143100001</v>
      </c>
      <c r="AB213" s="151">
        <f t="shared" si="19"/>
        <v>2361</v>
      </c>
      <c r="AC213" s="168">
        <v>2361</v>
      </c>
    </row>
    <row r="214" spans="1:29">
      <c r="A214" s="8">
        <v>7952</v>
      </c>
      <c r="B214" s="9"/>
      <c r="C214" s="9" t="s">
        <v>23</v>
      </c>
      <c r="D214" s="7" t="s">
        <v>16</v>
      </c>
      <c r="E214" s="11" t="s">
        <v>17</v>
      </c>
      <c r="F214" s="12"/>
      <c r="G214" s="16" t="s">
        <v>19</v>
      </c>
      <c r="H214" s="108">
        <v>45034</v>
      </c>
      <c r="I214" s="108">
        <v>45765</v>
      </c>
      <c r="J214" s="105">
        <v>25</v>
      </c>
      <c r="K214" s="16">
        <v>2</v>
      </c>
      <c r="L214" s="36" t="s">
        <v>326</v>
      </c>
      <c r="M214" s="50" t="s">
        <v>25</v>
      </c>
      <c r="N214" s="32" t="s">
        <v>200</v>
      </c>
      <c r="O214" s="159">
        <v>1755</v>
      </c>
      <c r="P214" s="19"/>
      <c r="Q214" s="110"/>
      <c r="R214" s="110"/>
      <c r="S214" s="110"/>
      <c r="T214" s="110"/>
      <c r="U214" s="110"/>
      <c r="V214" s="110"/>
      <c r="W214" s="110"/>
      <c r="X214" s="110">
        <v>1350</v>
      </c>
      <c r="Y214" s="151">
        <f>+X214*(1+$W$3)</f>
        <v>1553.8500000000001</v>
      </c>
      <c r="Z214" s="151">
        <f t="shared" si="20"/>
        <v>1720.1119500000002</v>
      </c>
      <c r="AA214" s="151">
        <f t="shared" si="18"/>
        <v>1754.5141890000002</v>
      </c>
      <c r="AB214" s="151">
        <f t="shared" si="19"/>
        <v>1755</v>
      </c>
      <c r="AC214" s="168">
        <v>1755</v>
      </c>
    </row>
    <row r="215" spans="1:29">
      <c r="A215" s="8">
        <v>7954</v>
      </c>
      <c r="B215" s="9"/>
      <c r="C215" s="9" t="s">
        <v>85</v>
      </c>
      <c r="D215" s="7" t="s">
        <v>16</v>
      </c>
      <c r="E215" s="11" t="s">
        <v>17</v>
      </c>
      <c r="F215" s="12"/>
      <c r="G215" s="16" t="s">
        <v>19</v>
      </c>
      <c r="H215" s="108">
        <v>45446</v>
      </c>
      <c r="I215" s="108">
        <v>45811</v>
      </c>
      <c r="J215" s="105">
        <v>25</v>
      </c>
      <c r="K215" s="16">
        <v>1</v>
      </c>
      <c r="L215" s="32">
        <v>0.02</v>
      </c>
      <c r="M215" s="18" t="s">
        <v>361</v>
      </c>
      <c r="N215" s="44" t="s">
        <v>362</v>
      </c>
      <c r="O215" s="159">
        <v>9302</v>
      </c>
      <c r="P215" s="19"/>
      <c r="Q215" s="110"/>
      <c r="R215" s="110"/>
      <c r="S215" s="110"/>
      <c r="T215" s="110"/>
      <c r="U215" s="110"/>
      <c r="V215" s="110"/>
      <c r="W215" s="110"/>
      <c r="X215" s="110"/>
      <c r="Y215" s="110">
        <v>8238</v>
      </c>
      <c r="Z215" s="151">
        <f t="shared" si="20"/>
        <v>9119.4660000000003</v>
      </c>
      <c r="AA215" s="151">
        <f t="shared" si="18"/>
        <v>9301.8553200000006</v>
      </c>
      <c r="AB215" s="151">
        <f t="shared" si="19"/>
        <v>9302</v>
      </c>
      <c r="AC215" s="168">
        <v>9302</v>
      </c>
    </row>
    <row r="216" spans="1:29">
      <c r="A216" s="8">
        <v>7958</v>
      </c>
      <c r="B216" s="9"/>
      <c r="C216" s="9" t="s">
        <v>363</v>
      </c>
      <c r="D216" s="7" t="s">
        <v>16</v>
      </c>
      <c r="E216" s="11" t="s">
        <v>17</v>
      </c>
      <c r="F216" s="12"/>
      <c r="G216" s="16" t="s">
        <v>19</v>
      </c>
      <c r="H216" s="108">
        <v>45419</v>
      </c>
      <c r="I216" s="108">
        <v>45784</v>
      </c>
      <c r="J216" s="105">
        <v>25</v>
      </c>
      <c r="K216" s="16">
        <v>1</v>
      </c>
      <c r="L216" s="31" t="s">
        <v>364</v>
      </c>
      <c r="M216" s="18" t="s">
        <v>365</v>
      </c>
      <c r="N216" s="44"/>
      <c r="O216" s="159">
        <v>4454</v>
      </c>
      <c r="P216" s="19"/>
      <c r="Q216" s="110"/>
      <c r="R216" s="110"/>
      <c r="S216" s="110"/>
      <c r="T216" s="110"/>
      <c r="U216" s="110"/>
      <c r="V216" s="110"/>
      <c r="W216" s="110"/>
      <c r="X216" s="110"/>
      <c r="Y216" s="110">
        <v>3945</v>
      </c>
      <c r="Z216" s="151">
        <f t="shared" si="20"/>
        <v>4367.1149999999998</v>
      </c>
      <c r="AA216" s="151">
        <f t="shared" si="18"/>
        <v>4454.4573</v>
      </c>
      <c r="AB216" s="151">
        <f t="shared" si="19"/>
        <v>4454</v>
      </c>
      <c r="AC216" s="168">
        <v>4454</v>
      </c>
    </row>
    <row r="217" spans="1:29" ht="15.75">
      <c r="A217" s="8">
        <v>7959</v>
      </c>
      <c r="B217" s="9"/>
      <c r="C217" s="9" t="s">
        <v>366</v>
      </c>
      <c r="D217" s="7" t="s">
        <v>16</v>
      </c>
      <c r="E217" s="11" t="s">
        <v>17</v>
      </c>
      <c r="F217" s="12"/>
      <c r="G217" s="16" t="s">
        <v>19</v>
      </c>
      <c r="H217" s="108">
        <v>45404</v>
      </c>
      <c r="I217" s="108">
        <v>45769</v>
      </c>
      <c r="J217" s="105">
        <v>25</v>
      </c>
      <c r="K217" s="16">
        <v>1</v>
      </c>
      <c r="L217" s="115" t="s">
        <v>367</v>
      </c>
      <c r="M217" s="18" t="s">
        <v>368</v>
      </c>
      <c r="N217" s="44"/>
      <c r="O217" s="159">
        <v>8447</v>
      </c>
      <c r="P217" s="19"/>
      <c r="Q217" s="110"/>
      <c r="R217" s="110"/>
      <c r="S217" s="110"/>
      <c r="T217" s="110"/>
      <c r="U217" s="110"/>
      <c r="V217" s="110"/>
      <c r="W217" s="110"/>
      <c r="X217" s="110"/>
      <c r="Y217" s="110">
        <v>7481</v>
      </c>
      <c r="Z217" s="151">
        <f t="shared" si="20"/>
        <v>8281.4670000000006</v>
      </c>
      <c r="AA217" s="151">
        <f t="shared" si="18"/>
        <v>8447.0963400000001</v>
      </c>
      <c r="AB217" s="151">
        <f t="shared" si="19"/>
        <v>8447</v>
      </c>
      <c r="AC217" s="168">
        <v>8447</v>
      </c>
    </row>
    <row r="218" spans="1:29">
      <c r="A218" s="8">
        <v>7964</v>
      </c>
      <c r="B218" s="9"/>
      <c r="C218" s="9" t="s">
        <v>369</v>
      </c>
      <c r="D218" s="7" t="s">
        <v>16</v>
      </c>
      <c r="E218" s="11" t="s">
        <v>17</v>
      </c>
      <c r="F218" s="20"/>
      <c r="G218" s="16" t="s">
        <v>370</v>
      </c>
      <c r="H218" s="108">
        <v>45433</v>
      </c>
      <c r="I218" s="108">
        <v>45798</v>
      </c>
      <c r="J218" s="105">
        <v>25</v>
      </c>
      <c r="K218" s="16">
        <v>1</v>
      </c>
      <c r="L218" s="31" t="s">
        <v>371</v>
      </c>
      <c r="M218" s="18" t="s">
        <v>372</v>
      </c>
      <c r="N218" s="44"/>
      <c r="O218" s="159">
        <v>12445</v>
      </c>
      <c r="P218" s="19"/>
      <c r="Q218" s="110"/>
      <c r="R218" s="110"/>
      <c r="S218" s="110"/>
      <c r="T218" s="110"/>
      <c r="U218" s="110"/>
      <c r="V218" s="110"/>
      <c r="W218" s="110"/>
      <c r="X218" s="110"/>
      <c r="Y218" s="110">
        <v>11022</v>
      </c>
      <c r="Z218" s="151">
        <f t="shared" si="20"/>
        <v>12201.353999999999</v>
      </c>
      <c r="AA218" s="151">
        <f t="shared" si="18"/>
        <v>12445.381079999999</v>
      </c>
      <c r="AB218" s="151">
        <f t="shared" si="19"/>
        <v>12445</v>
      </c>
      <c r="AC218" s="168">
        <v>12445</v>
      </c>
    </row>
    <row r="219" spans="1:29">
      <c r="A219" s="8">
        <v>7980</v>
      </c>
      <c r="B219" s="9"/>
      <c r="C219" s="9" t="s">
        <v>314</v>
      </c>
      <c r="D219" s="7" t="s">
        <v>16</v>
      </c>
      <c r="E219" s="11" t="s">
        <v>17</v>
      </c>
      <c r="F219" s="12"/>
      <c r="G219" s="16" t="s">
        <v>298</v>
      </c>
      <c r="H219" s="108">
        <v>45030</v>
      </c>
      <c r="I219" s="108">
        <v>45761</v>
      </c>
      <c r="J219" s="105">
        <v>25</v>
      </c>
      <c r="K219" s="16">
        <v>2</v>
      </c>
      <c r="L219" s="64">
        <v>0.02</v>
      </c>
      <c r="M219" s="36" t="s">
        <v>176</v>
      </c>
      <c r="N219" s="64" t="s">
        <v>315</v>
      </c>
      <c r="O219" s="161"/>
      <c r="P219" s="145"/>
      <c r="Q219" s="146"/>
      <c r="R219" s="146"/>
      <c r="S219" s="146"/>
      <c r="T219" s="146"/>
      <c r="U219" s="146"/>
      <c r="V219" s="146"/>
      <c r="W219" s="146"/>
      <c r="X219" s="146"/>
      <c r="Y219" s="146"/>
      <c r="Z219" s="151">
        <f t="shared" si="20"/>
        <v>0</v>
      </c>
      <c r="AA219" s="151">
        <f t="shared" si="18"/>
        <v>0</v>
      </c>
      <c r="AB219" s="151">
        <f t="shared" si="19"/>
        <v>0</v>
      </c>
      <c r="AC219" s="168"/>
    </row>
    <row r="220" spans="1:29">
      <c r="A220" s="51">
        <v>7997</v>
      </c>
      <c r="B220" s="52"/>
      <c r="C220" s="99" t="s">
        <v>373</v>
      </c>
      <c r="D220" s="7" t="s">
        <v>16</v>
      </c>
      <c r="E220" s="11" t="s">
        <v>17</v>
      </c>
      <c r="F220" s="116"/>
      <c r="G220" s="16" t="s">
        <v>19</v>
      </c>
      <c r="H220" s="108">
        <v>45097</v>
      </c>
      <c r="I220" s="108">
        <v>45828</v>
      </c>
      <c r="J220" s="15">
        <v>25</v>
      </c>
      <c r="K220" s="60">
        <v>2</v>
      </c>
      <c r="L220" s="117" t="s">
        <v>374</v>
      </c>
      <c r="M220" s="118" t="s">
        <v>375</v>
      </c>
      <c r="N220" s="119" t="s">
        <v>376</v>
      </c>
      <c r="O220" s="164"/>
      <c r="P220" s="145"/>
      <c r="Q220" s="146"/>
      <c r="R220" s="146"/>
      <c r="S220" s="146"/>
      <c r="T220" s="146"/>
      <c r="U220" s="146"/>
      <c r="V220" s="146"/>
      <c r="W220" s="146"/>
      <c r="X220" s="146"/>
      <c r="Y220" s="146"/>
      <c r="Z220" s="151">
        <f t="shared" si="20"/>
        <v>0</v>
      </c>
      <c r="AA220" s="151">
        <f t="shared" si="18"/>
        <v>0</v>
      </c>
      <c r="AB220" s="151">
        <f t="shared" si="19"/>
        <v>0</v>
      </c>
      <c r="AC220" s="168"/>
    </row>
    <row r="221" spans="1:29">
      <c r="A221" s="8">
        <v>8003</v>
      </c>
      <c r="B221" s="9"/>
      <c r="C221" s="9" t="s">
        <v>377</v>
      </c>
      <c r="D221" s="99" t="s">
        <v>16</v>
      </c>
      <c r="E221" s="11" t="s">
        <v>17</v>
      </c>
      <c r="F221" s="20"/>
      <c r="G221" s="120" t="s">
        <v>298</v>
      </c>
      <c r="H221" s="25">
        <v>45113</v>
      </c>
      <c r="I221" s="25">
        <v>45844</v>
      </c>
      <c r="J221" s="15">
        <v>25</v>
      </c>
      <c r="K221" s="16">
        <v>2</v>
      </c>
      <c r="L221" s="64" t="s">
        <v>378</v>
      </c>
      <c r="M221" s="41" t="s">
        <v>379</v>
      </c>
      <c r="N221" s="44" t="s">
        <v>287</v>
      </c>
      <c r="O221" s="165"/>
      <c r="P221" s="145"/>
      <c r="Q221" s="146"/>
      <c r="R221" s="146"/>
      <c r="S221" s="146"/>
      <c r="T221" s="146"/>
      <c r="U221" s="146"/>
      <c r="V221" s="146"/>
      <c r="W221" s="146"/>
      <c r="X221" s="146"/>
      <c r="Y221" s="146"/>
      <c r="Z221" s="151">
        <f t="shared" si="20"/>
        <v>0</v>
      </c>
      <c r="AA221" s="151">
        <f t="shared" si="18"/>
        <v>0</v>
      </c>
      <c r="AB221" s="151">
        <f t="shared" si="19"/>
        <v>0</v>
      </c>
      <c r="AC221" s="168"/>
    </row>
    <row r="222" spans="1:29">
      <c r="A222" s="8">
        <v>8009</v>
      </c>
      <c r="B222" s="9" t="s">
        <v>45</v>
      </c>
      <c r="C222" s="9" t="s">
        <v>34</v>
      </c>
      <c r="D222" s="99" t="s">
        <v>16</v>
      </c>
      <c r="E222" s="11" t="s">
        <v>17</v>
      </c>
      <c r="F222" s="20"/>
      <c r="G222" s="120" t="s">
        <v>298</v>
      </c>
      <c r="H222" s="25">
        <v>44939</v>
      </c>
      <c r="I222" s="25">
        <v>45760</v>
      </c>
      <c r="J222" s="15">
        <v>24</v>
      </c>
      <c r="K222" s="16">
        <v>2</v>
      </c>
      <c r="L222" s="36" t="s">
        <v>37</v>
      </c>
      <c r="M222" s="50" t="s">
        <v>322</v>
      </c>
      <c r="N222" s="32" t="s">
        <v>323</v>
      </c>
      <c r="O222" s="159">
        <v>1094</v>
      </c>
      <c r="P222" s="145"/>
      <c r="Q222" s="146"/>
      <c r="R222" s="146"/>
      <c r="S222" s="146"/>
      <c r="T222" s="146"/>
      <c r="U222" s="146"/>
      <c r="V222" s="146"/>
      <c r="W222" s="146"/>
      <c r="X222" s="146"/>
      <c r="Y222" s="146"/>
      <c r="Z222" s="151">
        <f t="shared" si="20"/>
        <v>0</v>
      </c>
      <c r="AA222" s="151">
        <f t="shared" si="18"/>
        <v>0</v>
      </c>
      <c r="AB222" s="151">
        <f t="shared" si="19"/>
        <v>0</v>
      </c>
      <c r="AC222" s="168">
        <v>1094</v>
      </c>
    </row>
    <row r="223" spans="1:29">
      <c r="A223" s="8">
        <v>8029</v>
      </c>
      <c r="B223" s="9"/>
      <c r="C223" s="9" t="s">
        <v>61</v>
      </c>
      <c r="D223" s="99" t="s">
        <v>16</v>
      </c>
      <c r="E223" s="11" t="s">
        <v>17</v>
      </c>
      <c r="F223" s="20"/>
      <c r="G223" s="120" t="s">
        <v>298</v>
      </c>
      <c r="H223" s="25">
        <v>44952</v>
      </c>
      <c r="I223" s="25">
        <v>45987</v>
      </c>
      <c r="J223" s="15">
        <v>25</v>
      </c>
      <c r="K223" s="16">
        <v>2</v>
      </c>
      <c r="L223" s="36" t="s">
        <v>380</v>
      </c>
      <c r="M223" s="50" t="s">
        <v>381</v>
      </c>
      <c r="N223" s="32" t="s">
        <v>64</v>
      </c>
      <c r="O223" s="163">
        <v>3570</v>
      </c>
      <c r="P223" s="19" t="s">
        <v>431</v>
      </c>
      <c r="Q223" s="110"/>
      <c r="R223" s="110"/>
      <c r="S223" s="110"/>
      <c r="T223" s="110"/>
      <c r="U223" s="110"/>
      <c r="V223" s="110"/>
      <c r="W223" s="110"/>
      <c r="X223" s="110"/>
      <c r="Y223" s="110"/>
      <c r="Z223" s="151">
        <f t="shared" si="20"/>
        <v>0</v>
      </c>
      <c r="AA223" s="151">
        <f t="shared" si="18"/>
        <v>0</v>
      </c>
      <c r="AB223" s="151">
        <f t="shared" si="19"/>
        <v>0</v>
      </c>
      <c r="AC223" s="168">
        <v>3570</v>
      </c>
    </row>
    <row r="224" spans="1:29">
      <c r="A224" s="8">
        <v>8090</v>
      </c>
      <c r="B224" s="9"/>
      <c r="C224" s="9" t="s">
        <v>288</v>
      </c>
      <c r="D224" s="99" t="s">
        <v>16</v>
      </c>
      <c r="E224" s="11" t="s">
        <v>17</v>
      </c>
      <c r="F224" s="20"/>
      <c r="G224" s="120" t="s">
        <v>298</v>
      </c>
      <c r="H224" s="25">
        <v>45271</v>
      </c>
      <c r="I224" s="25">
        <v>46002</v>
      </c>
      <c r="J224" s="15">
        <v>25</v>
      </c>
      <c r="K224" s="13">
        <v>2</v>
      </c>
      <c r="L224" s="31" t="s">
        <v>382</v>
      </c>
      <c r="M224" s="121" t="s">
        <v>383</v>
      </c>
      <c r="N224" s="95" t="s">
        <v>384</v>
      </c>
      <c r="O224" s="159">
        <v>2827</v>
      </c>
      <c r="P224" s="19"/>
      <c r="Q224" s="110"/>
      <c r="R224" s="110"/>
      <c r="S224" s="110"/>
      <c r="T224" s="110"/>
      <c r="U224" s="110"/>
      <c r="V224" s="110"/>
      <c r="W224" s="110"/>
      <c r="X224" s="110">
        <v>2175</v>
      </c>
      <c r="Y224" s="151">
        <f>+X224*(1+$W$3)</f>
        <v>2503.4250000000002</v>
      </c>
      <c r="Z224" s="151">
        <f t="shared" si="20"/>
        <v>2771.291475</v>
      </c>
      <c r="AA224" s="151">
        <f t="shared" si="18"/>
        <v>2826.7173045</v>
      </c>
      <c r="AB224" s="151">
        <f t="shared" si="19"/>
        <v>2827</v>
      </c>
      <c r="AC224" s="168">
        <v>2827</v>
      </c>
    </row>
    <row r="225" spans="1:29">
      <c r="A225" s="8">
        <v>8111</v>
      </c>
      <c r="B225" s="9"/>
      <c r="C225" s="9" t="s">
        <v>342</v>
      </c>
      <c r="D225" s="7" t="s">
        <v>16</v>
      </c>
      <c r="E225" s="81" t="s">
        <v>17</v>
      </c>
      <c r="F225" s="20"/>
      <c r="G225" s="120" t="s">
        <v>298</v>
      </c>
      <c r="H225" s="25">
        <v>45408</v>
      </c>
      <c r="I225" s="25">
        <v>45803</v>
      </c>
      <c r="J225" s="15">
        <v>25</v>
      </c>
      <c r="K225" s="13">
        <v>1</v>
      </c>
      <c r="L225" s="29" t="s">
        <v>385</v>
      </c>
      <c r="M225" s="122" t="s">
        <v>386</v>
      </c>
      <c r="N225" s="95" t="s">
        <v>387</v>
      </c>
      <c r="O225" s="163">
        <v>13490</v>
      </c>
      <c r="P225" s="19"/>
      <c r="Q225" s="110"/>
      <c r="R225" s="110"/>
      <c r="S225" s="110"/>
      <c r="T225" s="110"/>
      <c r="U225" s="110"/>
      <c r="V225" s="110"/>
      <c r="W225" s="110"/>
      <c r="X225" s="110">
        <v>10380</v>
      </c>
      <c r="Y225" s="151">
        <f>+X225*(1+$W$3)</f>
        <v>11947.380000000001</v>
      </c>
      <c r="Z225" s="151">
        <f t="shared" si="20"/>
        <v>13225.749660000001</v>
      </c>
      <c r="AA225" s="151">
        <f t="shared" si="18"/>
        <v>13490.264653200002</v>
      </c>
      <c r="AB225" s="151">
        <f t="shared" si="19"/>
        <v>13490</v>
      </c>
      <c r="AC225" s="168">
        <v>13490</v>
      </c>
    </row>
    <row r="226" spans="1:29">
      <c r="A226" s="8">
        <v>8113</v>
      </c>
      <c r="B226" s="9"/>
      <c r="C226" s="9" t="s">
        <v>388</v>
      </c>
      <c r="D226" s="99" t="s">
        <v>16</v>
      </c>
      <c r="E226" s="81" t="s">
        <v>17</v>
      </c>
      <c r="F226" s="20"/>
      <c r="G226" s="120" t="s">
        <v>19</v>
      </c>
      <c r="H226" s="25">
        <v>45434</v>
      </c>
      <c r="I226" s="25">
        <v>45799</v>
      </c>
      <c r="J226" s="15">
        <v>25</v>
      </c>
      <c r="K226" s="13">
        <v>1</v>
      </c>
      <c r="L226" s="95" t="s">
        <v>389</v>
      </c>
      <c r="M226" s="17" t="s">
        <v>390</v>
      </c>
      <c r="N226" s="95" t="s">
        <v>391</v>
      </c>
      <c r="O226" s="163">
        <v>2958</v>
      </c>
      <c r="P226" s="19"/>
      <c r="Q226" s="110"/>
      <c r="R226" s="110"/>
      <c r="S226" s="110"/>
      <c r="T226" s="110"/>
      <c r="U226" s="110"/>
      <c r="V226" s="110"/>
      <c r="W226" s="110"/>
      <c r="X226" s="110"/>
      <c r="Y226" s="110">
        <v>2620</v>
      </c>
      <c r="Z226" s="151">
        <f t="shared" si="20"/>
        <v>2900.34</v>
      </c>
      <c r="AA226" s="151">
        <f t="shared" si="18"/>
        <v>2958.3468000000003</v>
      </c>
      <c r="AB226" s="151">
        <f t="shared" si="19"/>
        <v>2958</v>
      </c>
      <c r="AC226" s="168">
        <v>2958</v>
      </c>
    </row>
    <row r="227" spans="1:29">
      <c r="A227" s="8">
        <v>8124</v>
      </c>
      <c r="B227" s="9"/>
      <c r="C227" s="9" t="s">
        <v>34</v>
      </c>
      <c r="D227" s="99" t="s">
        <v>16</v>
      </c>
      <c r="E227" s="81" t="s">
        <v>17</v>
      </c>
      <c r="F227" s="20"/>
      <c r="G227" s="120" t="s">
        <v>19</v>
      </c>
      <c r="H227" s="25">
        <v>45436</v>
      </c>
      <c r="I227" s="25">
        <v>45801</v>
      </c>
      <c r="J227" s="15">
        <v>25</v>
      </c>
      <c r="K227" s="13">
        <v>2</v>
      </c>
      <c r="L227" s="29" t="s">
        <v>392</v>
      </c>
      <c r="M227" s="17" t="s">
        <v>393</v>
      </c>
      <c r="N227" s="123" t="s">
        <v>394</v>
      </c>
      <c r="O227" s="165"/>
      <c r="P227" s="145"/>
      <c r="Q227" s="146"/>
      <c r="R227" s="146"/>
      <c r="S227" s="146"/>
      <c r="T227" s="146"/>
      <c r="U227" s="146"/>
      <c r="V227" s="146"/>
      <c r="W227" s="146"/>
      <c r="X227" s="146"/>
      <c r="Y227" s="146"/>
      <c r="Z227" s="151">
        <f t="shared" si="20"/>
        <v>0</v>
      </c>
      <c r="AA227" s="151">
        <f t="shared" si="18"/>
        <v>0</v>
      </c>
      <c r="AB227" s="151">
        <f t="shared" si="19"/>
        <v>0</v>
      </c>
      <c r="AC227" s="168"/>
    </row>
    <row r="228" spans="1:29">
      <c r="A228" s="8">
        <v>4</v>
      </c>
      <c r="B228" s="9"/>
      <c r="C228" s="10" t="s">
        <v>395</v>
      </c>
      <c r="D228" s="7" t="s">
        <v>16</v>
      </c>
      <c r="E228" s="11" t="s">
        <v>17</v>
      </c>
      <c r="F228" s="12" t="s">
        <v>396</v>
      </c>
      <c r="G228" s="120" t="s">
        <v>19</v>
      </c>
      <c r="H228" s="14">
        <v>45260</v>
      </c>
      <c r="I228" s="14">
        <v>45626</v>
      </c>
      <c r="J228" s="15">
        <v>24</v>
      </c>
      <c r="K228" s="16">
        <v>1</v>
      </c>
      <c r="L228" s="114" t="s">
        <v>397</v>
      </c>
      <c r="M228" s="17" t="s">
        <v>398</v>
      </c>
      <c r="N228" s="114" t="s">
        <v>399</v>
      </c>
      <c r="O228" s="163">
        <v>34369</v>
      </c>
      <c r="P228" s="19"/>
      <c r="Q228" s="110"/>
      <c r="R228" s="110"/>
      <c r="S228" s="110"/>
      <c r="T228" s="110"/>
      <c r="U228" s="110"/>
      <c r="V228" s="110"/>
      <c r="W228" s="110"/>
      <c r="X228" s="110"/>
      <c r="Y228" s="110">
        <v>30438</v>
      </c>
      <c r="Z228" s="151">
        <f t="shared" si="20"/>
        <v>33694.866000000002</v>
      </c>
      <c r="AA228" s="151">
        <f t="shared" si="18"/>
        <v>34368.763320000005</v>
      </c>
      <c r="AB228" s="151">
        <f t="shared" si="19"/>
        <v>34369</v>
      </c>
      <c r="AC228" s="168">
        <v>34369</v>
      </c>
    </row>
    <row r="229" spans="1:29">
      <c r="A229" s="8">
        <v>404</v>
      </c>
      <c r="B229" s="9" t="s">
        <v>48</v>
      </c>
      <c r="C229" s="10" t="s">
        <v>65</v>
      </c>
      <c r="D229" s="7" t="s">
        <v>16</v>
      </c>
      <c r="E229" s="11" t="s">
        <v>17</v>
      </c>
      <c r="F229" s="20"/>
      <c r="G229" s="13" t="s">
        <v>19</v>
      </c>
      <c r="H229" s="14">
        <v>45245</v>
      </c>
      <c r="I229" s="25">
        <v>45611</v>
      </c>
      <c r="J229" s="15">
        <v>24</v>
      </c>
      <c r="K229" s="16">
        <v>1</v>
      </c>
      <c r="L229" s="17" t="s">
        <v>99</v>
      </c>
      <c r="M229" s="18" t="s">
        <v>67</v>
      </c>
      <c r="N229" s="18" t="s">
        <v>400</v>
      </c>
      <c r="O229" s="163">
        <v>446</v>
      </c>
      <c r="P229" s="19"/>
      <c r="Q229" s="110"/>
      <c r="R229" s="110"/>
      <c r="S229" s="110"/>
      <c r="T229" s="110"/>
      <c r="U229" s="110"/>
      <c r="V229" s="110"/>
      <c r="W229" s="110"/>
      <c r="X229" s="110"/>
      <c r="Y229" s="110">
        <v>395</v>
      </c>
      <c r="Z229" s="151">
        <f t="shared" si="20"/>
        <v>437.26499999999999</v>
      </c>
      <c r="AA229" s="151">
        <f t="shared" si="18"/>
        <v>446.01029999999997</v>
      </c>
      <c r="AB229" s="151">
        <f t="shared" si="19"/>
        <v>446</v>
      </c>
      <c r="AC229" s="168">
        <v>446</v>
      </c>
    </row>
    <row r="230" spans="1:29">
      <c r="A230" s="51">
        <v>3037</v>
      </c>
      <c r="B230" s="5"/>
      <c r="C230" s="9" t="s">
        <v>401</v>
      </c>
      <c r="D230" s="7" t="s">
        <v>16</v>
      </c>
      <c r="E230" s="11" t="s">
        <v>17</v>
      </c>
      <c r="F230" s="20"/>
      <c r="G230" s="21" t="s">
        <v>19</v>
      </c>
      <c r="H230" s="14">
        <v>45245</v>
      </c>
      <c r="I230" s="14">
        <v>45611</v>
      </c>
      <c r="J230" s="15">
        <v>24</v>
      </c>
      <c r="K230" s="16">
        <v>1</v>
      </c>
      <c r="L230" s="36" t="s">
        <v>402</v>
      </c>
      <c r="M230" s="36" t="s">
        <v>403</v>
      </c>
      <c r="N230" s="36"/>
      <c r="O230" s="163">
        <v>21707</v>
      </c>
      <c r="P230" s="19"/>
      <c r="Q230" s="110"/>
      <c r="R230" s="110"/>
      <c r="S230" s="110"/>
      <c r="T230" s="110"/>
      <c r="U230" s="110"/>
      <c r="V230" s="110"/>
      <c r="W230" s="110"/>
      <c r="X230" s="110">
        <v>16702</v>
      </c>
      <c r="Y230" s="110">
        <f>+X230*(1+$W$3)</f>
        <v>19224.002</v>
      </c>
      <c r="Z230" s="151">
        <f t="shared" si="20"/>
        <v>21280.970214000001</v>
      </c>
      <c r="AA230" s="151">
        <f t="shared" si="18"/>
        <v>21706.589618280002</v>
      </c>
      <c r="AB230" s="151">
        <f t="shared" si="19"/>
        <v>21707</v>
      </c>
      <c r="AC230" s="168">
        <v>21707</v>
      </c>
    </row>
    <row r="231" spans="1:29">
      <c r="A231" s="68">
        <v>5587</v>
      </c>
      <c r="B231" s="9"/>
      <c r="C231" s="9" t="s">
        <v>316</v>
      </c>
      <c r="D231" s="7" t="s">
        <v>16</v>
      </c>
      <c r="E231" s="11" t="s">
        <v>17</v>
      </c>
      <c r="F231" s="20"/>
      <c r="G231" s="27" t="s">
        <v>19</v>
      </c>
      <c r="H231" s="14">
        <v>45244</v>
      </c>
      <c r="I231" s="14">
        <v>45610</v>
      </c>
      <c r="J231" s="15">
        <v>24</v>
      </c>
      <c r="K231" s="16">
        <v>1</v>
      </c>
      <c r="L231" s="61">
        <v>0.01</v>
      </c>
      <c r="M231" s="36" t="s">
        <v>265</v>
      </c>
      <c r="N231" s="93" t="s">
        <v>266</v>
      </c>
      <c r="O231" s="163">
        <v>2594</v>
      </c>
      <c r="P231" s="19"/>
      <c r="Q231" s="110"/>
      <c r="R231" s="110"/>
      <c r="S231" s="110"/>
      <c r="T231" s="110"/>
      <c r="U231" s="110"/>
      <c r="V231" s="110"/>
      <c r="W231" s="110"/>
      <c r="X231" s="110">
        <v>1996</v>
      </c>
      <c r="Y231" s="110">
        <f>+X231*(1+$W$3)</f>
        <v>2297.3960000000002</v>
      </c>
      <c r="Z231" s="151">
        <f t="shared" si="20"/>
        <v>2543.2173720000001</v>
      </c>
      <c r="AA231" s="151">
        <f t="shared" si="18"/>
        <v>2594.0817194400001</v>
      </c>
      <c r="AB231" s="151">
        <f t="shared" si="19"/>
        <v>2594</v>
      </c>
      <c r="AC231" s="168">
        <v>2594</v>
      </c>
    </row>
    <row r="232" spans="1:29">
      <c r="A232" s="8">
        <v>7104</v>
      </c>
      <c r="B232" s="90"/>
      <c r="C232" s="10" t="s">
        <v>122</v>
      </c>
      <c r="D232" s="7" t="s">
        <v>16</v>
      </c>
      <c r="E232" s="11" t="s">
        <v>17</v>
      </c>
      <c r="F232" s="12"/>
      <c r="G232" s="13" t="s">
        <v>19</v>
      </c>
      <c r="H232" s="25">
        <v>45268</v>
      </c>
      <c r="I232" s="14">
        <v>45634</v>
      </c>
      <c r="J232" s="15">
        <v>24</v>
      </c>
      <c r="K232" s="16">
        <v>1</v>
      </c>
      <c r="L232" s="61">
        <v>0.1</v>
      </c>
      <c r="M232" s="36" t="s">
        <v>123</v>
      </c>
      <c r="N232" s="32">
        <v>0.1</v>
      </c>
      <c r="O232" s="163">
        <v>1653</v>
      </c>
      <c r="P232" s="19"/>
      <c r="Q232" s="110"/>
      <c r="R232" s="110"/>
      <c r="S232" s="110"/>
      <c r="T232" s="110"/>
      <c r="U232" s="110"/>
      <c r="V232" s="110"/>
      <c r="W232" s="110"/>
      <c r="X232" s="110">
        <v>1272</v>
      </c>
      <c r="Y232" s="110">
        <f>+X232*(1+$W$3)</f>
        <v>1464.0720000000001</v>
      </c>
      <c r="Z232" s="151">
        <f t="shared" si="20"/>
        <v>1620.7277040000001</v>
      </c>
      <c r="AA232" s="151">
        <f t="shared" si="18"/>
        <v>1653.1422580800001</v>
      </c>
      <c r="AB232" s="151">
        <f t="shared" si="19"/>
        <v>1653</v>
      </c>
      <c r="AC232" s="168">
        <v>1653</v>
      </c>
    </row>
    <row r="233" spans="1:29">
      <c r="A233" s="8">
        <v>7930</v>
      </c>
      <c r="B233" s="9"/>
      <c r="C233" s="9" t="s">
        <v>404</v>
      </c>
      <c r="D233" s="7" t="s">
        <v>16</v>
      </c>
      <c r="E233" s="11" t="s">
        <v>17</v>
      </c>
      <c r="F233" s="12"/>
      <c r="G233" s="120" t="s">
        <v>19</v>
      </c>
      <c r="H233" s="106">
        <v>45278</v>
      </c>
      <c r="I233" s="108">
        <v>45644</v>
      </c>
      <c r="J233" s="15">
        <v>24</v>
      </c>
      <c r="K233" s="16">
        <v>1</v>
      </c>
      <c r="L233" s="109" t="s">
        <v>197</v>
      </c>
      <c r="M233" s="18" t="s">
        <v>405</v>
      </c>
      <c r="N233" s="44" t="s">
        <v>406</v>
      </c>
      <c r="O233" s="163">
        <v>13302</v>
      </c>
      <c r="P233" s="19"/>
      <c r="Q233" s="110"/>
      <c r="R233" s="110"/>
      <c r="S233" s="110"/>
      <c r="T233" s="110"/>
      <c r="U233" s="110"/>
      <c r="V233" s="110"/>
      <c r="W233" s="110"/>
      <c r="X233" s="110">
        <v>10235</v>
      </c>
      <c r="Y233" s="110">
        <f>+X233*(1+$W$3)</f>
        <v>11780.485000000001</v>
      </c>
      <c r="Z233" s="151">
        <f t="shared" si="20"/>
        <v>13040.996895</v>
      </c>
      <c r="AA233" s="151">
        <f t="shared" si="18"/>
        <v>13301.8168329</v>
      </c>
      <c r="AB233" s="151">
        <f t="shared" si="19"/>
        <v>13302</v>
      </c>
      <c r="AC233" s="168">
        <v>13302</v>
      </c>
    </row>
    <row r="234" spans="1:29">
      <c r="A234" s="8">
        <v>8034</v>
      </c>
      <c r="B234" s="9"/>
      <c r="C234" s="9" t="s">
        <v>407</v>
      </c>
      <c r="D234" s="99" t="s">
        <v>16</v>
      </c>
      <c r="E234" s="11" t="s">
        <v>17</v>
      </c>
      <c r="F234" s="20" t="s">
        <v>408</v>
      </c>
      <c r="G234" s="120" t="s">
        <v>19</v>
      </c>
      <c r="H234" s="25">
        <v>45245</v>
      </c>
      <c r="I234" s="25">
        <v>45611</v>
      </c>
      <c r="J234" s="15">
        <v>24</v>
      </c>
      <c r="K234" s="16">
        <v>1</v>
      </c>
      <c r="L234" s="114" t="s">
        <v>353</v>
      </c>
      <c r="M234" s="50" t="s">
        <v>409</v>
      </c>
      <c r="N234" s="32">
        <v>0.01</v>
      </c>
      <c r="O234" s="163">
        <v>10319</v>
      </c>
      <c r="P234" s="19"/>
      <c r="Q234" s="110"/>
      <c r="R234" s="110"/>
      <c r="S234" s="110"/>
      <c r="T234" s="110"/>
      <c r="U234" s="110"/>
      <c r="V234" s="110"/>
      <c r="W234" s="110"/>
      <c r="X234" s="110"/>
      <c r="Y234" s="110">
        <v>9139</v>
      </c>
      <c r="Z234" s="151">
        <f t="shared" si="20"/>
        <v>10116.873</v>
      </c>
      <c r="AA234" s="151">
        <f t="shared" si="18"/>
        <v>10319.21046</v>
      </c>
      <c r="AB234" s="151">
        <f t="shared" si="19"/>
        <v>10319</v>
      </c>
      <c r="AC234" s="168">
        <v>10319</v>
      </c>
    </row>
    <row r="235" spans="1:29" ht="15.75" thickBot="1">
      <c r="A235" s="124">
        <v>8038</v>
      </c>
      <c r="B235" s="125"/>
      <c r="C235" s="126" t="s">
        <v>122</v>
      </c>
      <c r="D235" s="7" t="s">
        <v>16</v>
      </c>
      <c r="E235" s="11" t="s">
        <v>17</v>
      </c>
      <c r="F235" s="12"/>
      <c r="G235" s="13" t="s">
        <v>19</v>
      </c>
      <c r="H235" s="25">
        <v>45251</v>
      </c>
      <c r="I235" s="25">
        <v>45617</v>
      </c>
      <c r="J235" s="15">
        <v>24</v>
      </c>
      <c r="K235" s="16">
        <v>1</v>
      </c>
      <c r="L235" s="61">
        <v>0.1</v>
      </c>
      <c r="M235" s="36" t="s">
        <v>123</v>
      </c>
      <c r="N235" s="32">
        <v>0.1</v>
      </c>
      <c r="O235" s="163">
        <v>1768</v>
      </c>
      <c r="P235" s="19"/>
      <c r="Q235" s="110"/>
      <c r="R235" s="110"/>
      <c r="S235" s="110"/>
      <c r="T235" s="110"/>
      <c r="U235" s="110"/>
      <c r="V235" s="110"/>
      <c r="W235" s="110"/>
      <c r="X235" s="110"/>
      <c r="Y235" s="110">
        <v>1566</v>
      </c>
      <c r="Z235" s="151">
        <f t="shared" si="20"/>
        <v>1733.5619999999999</v>
      </c>
      <c r="AA235" s="151">
        <f t="shared" si="18"/>
        <v>1768.23324</v>
      </c>
      <c r="AB235" s="151">
        <f t="shared" si="19"/>
        <v>1768</v>
      </c>
      <c r="AC235" s="168">
        <v>1768</v>
      </c>
    </row>
    <row r="236" spans="1:29" ht="15.75" thickTop="1">
      <c r="A236" s="8">
        <v>6521</v>
      </c>
      <c r="B236" s="10" t="s">
        <v>45</v>
      </c>
      <c r="C236" s="9" t="s">
        <v>34</v>
      </c>
      <c r="D236" s="7" t="s">
        <v>16</v>
      </c>
      <c r="E236" s="11" t="s">
        <v>17</v>
      </c>
      <c r="F236" s="23" t="s">
        <v>423</v>
      </c>
      <c r="G236" s="27" t="s">
        <v>19</v>
      </c>
      <c r="H236" s="14">
        <v>44315</v>
      </c>
      <c r="I236" s="25">
        <v>45328</v>
      </c>
      <c r="J236" s="15">
        <v>25</v>
      </c>
      <c r="K236" s="77">
        <v>2</v>
      </c>
      <c r="L236" s="29" t="s">
        <v>262</v>
      </c>
      <c r="M236" s="36" t="s">
        <v>263</v>
      </c>
      <c r="N236" s="36" t="s">
        <v>262</v>
      </c>
      <c r="O236" s="163">
        <v>1094</v>
      </c>
      <c r="P236" s="19"/>
      <c r="Q236" s="110"/>
      <c r="R236" s="110"/>
      <c r="S236" s="110"/>
      <c r="T236" s="110"/>
      <c r="U236" s="110"/>
      <c r="V236" s="110">
        <v>786</v>
      </c>
      <c r="W236" s="151">
        <f>+V236*(1+$U$3)</f>
        <v>811.15200000000004</v>
      </c>
      <c r="X236" s="151">
        <f>+W236*(1+$V$3)</f>
        <v>841.97577600000011</v>
      </c>
      <c r="Y236" s="151">
        <f>+X236*(1+$W$3)</f>
        <v>969.11411817600015</v>
      </c>
      <c r="Z236" s="151">
        <f t="shared" si="20"/>
        <v>1072.8093288208322</v>
      </c>
      <c r="AA236" s="151">
        <f t="shared" si="18"/>
        <v>1094.2655153972489</v>
      </c>
      <c r="AB236" s="151">
        <f t="shared" si="19"/>
        <v>1094</v>
      </c>
      <c r="AC236" s="168">
        <v>1094</v>
      </c>
    </row>
    <row r="237" spans="1:29">
      <c r="A237" s="8">
        <v>7538</v>
      </c>
      <c r="B237" s="10" t="s">
        <v>45</v>
      </c>
      <c r="C237" s="9" t="s">
        <v>34</v>
      </c>
      <c r="D237" s="7" t="s">
        <v>16</v>
      </c>
      <c r="E237" s="11" t="s">
        <v>17</v>
      </c>
      <c r="F237" s="23" t="s">
        <v>424</v>
      </c>
      <c r="G237" s="27" t="s">
        <v>19</v>
      </c>
      <c r="H237" s="14">
        <v>44315</v>
      </c>
      <c r="I237" s="14">
        <v>45325</v>
      </c>
      <c r="J237" s="15">
        <v>25</v>
      </c>
      <c r="K237" s="101">
        <v>2</v>
      </c>
      <c r="L237" s="29" t="s">
        <v>201</v>
      </c>
      <c r="M237" s="41" t="s">
        <v>317</v>
      </c>
      <c r="N237" s="49" t="s">
        <v>201</v>
      </c>
      <c r="O237" s="163">
        <v>1094</v>
      </c>
      <c r="P237" s="19"/>
      <c r="Q237" s="110"/>
      <c r="R237" s="110"/>
      <c r="S237" s="151"/>
      <c r="T237" s="151"/>
      <c r="U237" s="151"/>
      <c r="V237" s="110">
        <v>786</v>
      </c>
      <c r="W237" s="151">
        <f>+V237*(1+$U$3)</f>
        <v>811.15200000000004</v>
      </c>
      <c r="X237" s="151">
        <f>+W237*(1+$V$3)</f>
        <v>841.97577600000011</v>
      </c>
      <c r="Y237" s="151">
        <f>+X237*(1+$W$3)</f>
        <v>969.11411817600015</v>
      </c>
      <c r="Z237" s="151">
        <f t="shared" si="20"/>
        <v>1072.8093288208322</v>
      </c>
      <c r="AA237" s="151">
        <f t="shared" si="18"/>
        <v>1094.2655153972489</v>
      </c>
      <c r="AB237" s="151">
        <f t="shared" si="19"/>
        <v>1094</v>
      </c>
      <c r="AC237" s="168">
        <v>1094</v>
      </c>
    </row>
    <row r="238" spans="1:29">
      <c r="A238" s="8">
        <v>8004</v>
      </c>
      <c r="B238" s="9" t="s">
        <v>45</v>
      </c>
      <c r="C238" s="9" t="s">
        <v>34</v>
      </c>
      <c r="D238" s="99" t="s">
        <v>16</v>
      </c>
      <c r="E238" s="11" t="s">
        <v>17</v>
      </c>
      <c r="F238" s="20"/>
      <c r="G238" s="120" t="s">
        <v>298</v>
      </c>
      <c r="H238" s="25">
        <v>44927</v>
      </c>
      <c r="I238" s="25">
        <v>45383</v>
      </c>
      <c r="J238" s="15">
        <v>25</v>
      </c>
      <c r="K238" s="16">
        <v>2</v>
      </c>
      <c r="L238" s="64" t="s">
        <v>37</v>
      </c>
      <c r="M238" s="41" t="s">
        <v>425</v>
      </c>
      <c r="N238" s="44" t="s">
        <v>201</v>
      </c>
      <c r="O238" s="163">
        <v>1353</v>
      </c>
      <c r="P238" s="19"/>
      <c r="Q238" s="110"/>
      <c r="R238" s="110"/>
      <c r="S238" s="151"/>
      <c r="T238" s="151"/>
      <c r="U238" s="151"/>
      <c r="V238" s="110"/>
      <c r="W238" s="151">
        <f t="shared" ref="W238:W250" si="21">+V238*(1+$U$3)</f>
        <v>0</v>
      </c>
      <c r="X238" s="151">
        <f t="shared" ref="X238:X250" si="22">+W238*(1+$V$3)</f>
        <v>0</v>
      </c>
      <c r="Y238" s="151">
        <f t="shared" ref="Y238:Y250" si="23">+X238*(1+$W$3)</f>
        <v>0</v>
      </c>
      <c r="Z238" s="151">
        <f t="shared" si="20"/>
        <v>0</v>
      </c>
      <c r="AA238" s="151">
        <f t="shared" si="18"/>
        <v>0</v>
      </c>
      <c r="AB238" s="151">
        <f t="shared" si="19"/>
        <v>0</v>
      </c>
      <c r="AC238" s="168">
        <v>1353</v>
      </c>
    </row>
    <row r="239" spans="1:29">
      <c r="A239" s="8">
        <v>8005</v>
      </c>
      <c r="B239" s="9" t="s">
        <v>45</v>
      </c>
      <c r="C239" s="9" t="s">
        <v>34</v>
      </c>
      <c r="D239" s="99" t="s">
        <v>16</v>
      </c>
      <c r="E239" s="11" t="s">
        <v>17</v>
      </c>
      <c r="F239" s="20"/>
      <c r="G239" s="120" t="s">
        <v>298</v>
      </c>
      <c r="H239" s="25">
        <v>44927</v>
      </c>
      <c r="I239" s="25">
        <v>45383</v>
      </c>
      <c r="J239" s="15">
        <v>25</v>
      </c>
      <c r="K239" s="16">
        <v>2</v>
      </c>
      <c r="L239" s="64" t="s">
        <v>37</v>
      </c>
      <c r="M239" s="41" t="s">
        <v>425</v>
      </c>
      <c r="N239" s="44" t="s">
        <v>201</v>
      </c>
      <c r="O239" s="163">
        <v>1353</v>
      </c>
      <c r="P239" s="19"/>
      <c r="Q239" s="110"/>
      <c r="R239" s="110"/>
      <c r="S239" s="151"/>
      <c r="T239" s="151"/>
      <c r="U239" s="151"/>
      <c r="V239" s="110"/>
      <c r="W239" s="151">
        <f t="shared" si="21"/>
        <v>0</v>
      </c>
      <c r="X239" s="151">
        <f t="shared" si="22"/>
        <v>0</v>
      </c>
      <c r="Y239" s="151">
        <f t="shared" si="23"/>
        <v>0</v>
      </c>
      <c r="Z239" s="151">
        <f t="shared" si="20"/>
        <v>0</v>
      </c>
      <c r="AA239" s="151">
        <f t="shared" si="18"/>
        <v>0</v>
      </c>
      <c r="AB239" s="151">
        <f t="shared" si="19"/>
        <v>0</v>
      </c>
      <c r="AC239" s="168">
        <v>1353</v>
      </c>
    </row>
    <row r="240" spans="1:29">
      <c r="A240" s="8">
        <v>8006</v>
      </c>
      <c r="B240" s="9" t="s">
        <v>45</v>
      </c>
      <c r="C240" s="9" t="s">
        <v>34</v>
      </c>
      <c r="D240" s="99" t="s">
        <v>16</v>
      </c>
      <c r="E240" s="11" t="s">
        <v>17</v>
      </c>
      <c r="F240" s="20"/>
      <c r="G240" s="120" t="s">
        <v>298</v>
      </c>
      <c r="H240" s="25">
        <v>44927</v>
      </c>
      <c r="I240" s="25">
        <v>45383</v>
      </c>
      <c r="J240" s="15">
        <v>25</v>
      </c>
      <c r="K240" s="16">
        <v>2</v>
      </c>
      <c r="L240" s="64" t="s">
        <v>37</v>
      </c>
      <c r="M240" s="41" t="s">
        <v>425</v>
      </c>
      <c r="N240" s="44" t="s">
        <v>201</v>
      </c>
      <c r="O240" s="163">
        <v>1353</v>
      </c>
      <c r="P240" s="19"/>
      <c r="Q240" s="110"/>
      <c r="R240" s="110"/>
      <c r="S240" s="151"/>
      <c r="T240" s="151"/>
      <c r="U240" s="151"/>
      <c r="V240" s="110"/>
      <c r="W240" s="151">
        <f t="shared" si="21"/>
        <v>0</v>
      </c>
      <c r="X240" s="151">
        <f t="shared" si="22"/>
        <v>0</v>
      </c>
      <c r="Y240" s="151">
        <f t="shared" si="23"/>
        <v>0</v>
      </c>
      <c r="Z240" s="151">
        <f t="shared" si="20"/>
        <v>0</v>
      </c>
      <c r="AA240" s="151">
        <f t="shared" si="18"/>
        <v>0</v>
      </c>
      <c r="AB240" s="151">
        <f t="shared" si="19"/>
        <v>0</v>
      </c>
      <c r="AC240" s="168">
        <v>1353</v>
      </c>
    </row>
    <row r="241" spans="1:29">
      <c r="A241" s="8">
        <v>8007</v>
      </c>
      <c r="B241" s="9" t="s">
        <v>45</v>
      </c>
      <c r="C241" s="9" t="s">
        <v>34</v>
      </c>
      <c r="D241" s="99" t="s">
        <v>16</v>
      </c>
      <c r="E241" s="11" t="s">
        <v>17</v>
      </c>
      <c r="F241" s="20"/>
      <c r="G241" s="120" t="s">
        <v>298</v>
      </c>
      <c r="H241" s="25">
        <v>44927</v>
      </c>
      <c r="I241" s="25">
        <v>45383</v>
      </c>
      <c r="J241" s="15">
        <v>25</v>
      </c>
      <c r="K241" s="16">
        <v>2</v>
      </c>
      <c r="L241" s="64" t="s">
        <v>37</v>
      </c>
      <c r="M241" s="41" t="s">
        <v>425</v>
      </c>
      <c r="N241" s="44" t="s">
        <v>201</v>
      </c>
      <c r="O241" s="163">
        <v>1353</v>
      </c>
      <c r="P241" s="19"/>
      <c r="Q241" s="110"/>
      <c r="R241" s="110"/>
      <c r="S241" s="151"/>
      <c r="T241" s="151"/>
      <c r="U241" s="151"/>
      <c r="V241" s="110"/>
      <c r="W241" s="151">
        <f t="shared" si="21"/>
        <v>0</v>
      </c>
      <c r="X241" s="151">
        <f t="shared" si="22"/>
        <v>0</v>
      </c>
      <c r="Y241" s="151">
        <f t="shared" si="23"/>
        <v>0</v>
      </c>
      <c r="Z241" s="151">
        <f t="shared" si="20"/>
        <v>0</v>
      </c>
      <c r="AA241" s="151">
        <f t="shared" si="18"/>
        <v>0</v>
      </c>
      <c r="AB241" s="151">
        <f t="shared" si="19"/>
        <v>0</v>
      </c>
      <c r="AC241" s="168">
        <v>1353</v>
      </c>
    </row>
    <row r="242" spans="1:29">
      <c r="A242" s="8">
        <v>8008</v>
      </c>
      <c r="B242" s="9" t="s">
        <v>45</v>
      </c>
      <c r="C242" s="9" t="s">
        <v>34</v>
      </c>
      <c r="D242" s="99" t="s">
        <v>16</v>
      </c>
      <c r="E242" s="11" t="s">
        <v>17</v>
      </c>
      <c r="F242" s="20"/>
      <c r="G242" s="120" t="s">
        <v>298</v>
      </c>
      <c r="H242" s="25">
        <v>44927</v>
      </c>
      <c r="I242" s="25">
        <v>45383</v>
      </c>
      <c r="J242" s="15">
        <v>25</v>
      </c>
      <c r="K242" s="16">
        <v>2</v>
      </c>
      <c r="L242" s="64" t="s">
        <v>37</v>
      </c>
      <c r="M242" s="41" t="s">
        <v>425</v>
      </c>
      <c r="N242" s="44" t="s">
        <v>201</v>
      </c>
      <c r="O242" s="163">
        <v>1353</v>
      </c>
      <c r="P242" s="19"/>
      <c r="Q242" s="110"/>
      <c r="R242" s="110"/>
      <c r="S242" s="151"/>
      <c r="T242" s="151"/>
      <c r="U242" s="151"/>
      <c r="V242" s="110"/>
      <c r="W242" s="151">
        <f t="shared" si="21"/>
        <v>0</v>
      </c>
      <c r="X242" s="151">
        <f t="shared" si="22"/>
        <v>0</v>
      </c>
      <c r="Y242" s="151">
        <f t="shared" si="23"/>
        <v>0</v>
      </c>
      <c r="Z242" s="151">
        <f t="shared" si="20"/>
        <v>0</v>
      </c>
      <c r="AA242" s="151">
        <f t="shared" si="18"/>
        <v>0</v>
      </c>
      <c r="AB242" s="151">
        <f t="shared" si="19"/>
        <v>0</v>
      </c>
      <c r="AC242" s="168">
        <v>1353</v>
      </c>
    </row>
    <row r="243" spans="1:29">
      <c r="A243" s="8" t="s">
        <v>410</v>
      </c>
      <c r="B243" s="9"/>
      <c r="C243" s="10" t="s">
        <v>134</v>
      </c>
      <c r="D243" s="7" t="s">
        <v>16</v>
      </c>
      <c r="E243" s="11" t="s">
        <v>17</v>
      </c>
      <c r="F243" s="127"/>
      <c r="G243" s="13" t="s">
        <v>19</v>
      </c>
      <c r="H243" s="14">
        <v>42440</v>
      </c>
      <c r="I243" s="14">
        <v>46092</v>
      </c>
      <c r="J243" s="15">
        <v>26</v>
      </c>
      <c r="K243" s="16">
        <v>10</v>
      </c>
      <c r="L243" s="18" t="s">
        <v>392</v>
      </c>
      <c r="M243" s="18" t="s">
        <v>411</v>
      </c>
      <c r="N243" s="18" t="s">
        <v>35</v>
      </c>
      <c r="O243" s="163">
        <v>541</v>
      </c>
      <c r="P243" s="19"/>
      <c r="Q243" s="110">
        <v>350</v>
      </c>
      <c r="R243" s="151">
        <v>350</v>
      </c>
      <c r="S243" s="151">
        <f>+R243*(1+$Q$3+$R$3)</f>
        <v>361.19999999999993</v>
      </c>
      <c r="T243" s="151">
        <f>+S243*(1+$R$3)</f>
        <v>370.2299999999999</v>
      </c>
      <c r="U243" s="151">
        <f>+T243*(1+$S$3)</f>
        <v>378.00482999999986</v>
      </c>
      <c r="V243" s="151">
        <f>+U243*(1+$T$3)</f>
        <v>388.58896523999988</v>
      </c>
      <c r="W243" s="151">
        <f t="shared" si="21"/>
        <v>401.02381212767989</v>
      </c>
      <c r="X243" s="151">
        <f t="shared" si="22"/>
        <v>416.26271698853174</v>
      </c>
      <c r="Y243" s="151">
        <f t="shared" si="23"/>
        <v>479.11838725380005</v>
      </c>
      <c r="Z243" s="151">
        <f t="shared" si="20"/>
        <v>530.38405468995666</v>
      </c>
      <c r="AA243" s="151">
        <f t="shared" si="18"/>
        <v>540.99173578375576</v>
      </c>
      <c r="AB243" s="151">
        <f t="shared" si="19"/>
        <v>541</v>
      </c>
      <c r="AC243" s="168">
        <v>541</v>
      </c>
    </row>
    <row r="244" spans="1:29">
      <c r="A244" s="8" t="s">
        <v>412</v>
      </c>
      <c r="B244" s="9"/>
      <c r="C244" s="10" t="s">
        <v>134</v>
      </c>
      <c r="D244" s="7" t="s">
        <v>16</v>
      </c>
      <c r="E244" s="11" t="s">
        <v>17</v>
      </c>
      <c r="F244" s="38"/>
      <c r="G244" s="13" t="s">
        <v>19</v>
      </c>
      <c r="H244" s="14">
        <v>42440</v>
      </c>
      <c r="I244" s="14">
        <v>46092</v>
      </c>
      <c r="J244" s="15">
        <v>26</v>
      </c>
      <c r="K244" s="16">
        <v>10</v>
      </c>
      <c r="L244" s="18" t="s">
        <v>392</v>
      </c>
      <c r="M244" s="18" t="s">
        <v>411</v>
      </c>
      <c r="N244" s="18" t="s">
        <v>35</v>
      </c>
      <c r="O244" s="163">
        <v>541</v>
      </c>
      <c r="P244" s="19"/>
      <c r="Q244" s="110">
        <v>350</v>
      </c>
      <c r="R244" s="151">
        <v>350</v>
      </c>
      <c r="S244" s="151">
        <f t="shared" ref="S244:S249" si="24">+R244*(1+$Q$3+$R$3)</f>
        <v>361.19999999999993</v>
      </c>
      <c r="T244" s="151">
        <f t="shared" ref="T244:T250" si="25">+S244*(1+$R$3)</f>
        <v>370.2299999999999</v>
      </c>
      <c r="U244" s="151">
        <f t="shared" ref="U244:U250" si="26">+T244*(1+$S$3)</f>
        <v>378.00482999999986</v>
      </c>
      <c r="V244" s="151">
        <f t="shared" ref="V244:V250" si="27">+U244*(1+$T$3)</f>
        <v>388.58896523999988</v>
      </c>
      <c r="W244" s="151">
        <f t="shared" si="21"/>
        <v>401.02381212767989</v>
      </c>
      <c r="X244" s="151">
        <f t="shared" si="22"/>
        <v>416.26271698853174</v>
      </c>
      <c r="Y244" s="151">
        <f t="shared" si="23"/>
        <v>479.11838725380005</v>
      </c>
      <c r="Z244" s="151">
        <f t="shared" si="20"/>
        <v>530.38405468995666</v>
      </c>
      <c r="AA244" s="151">
        <f t="shared" si="18"/>
        <v>540.99173578375576</v>
      </c>
      <c r="AB244" s="151">
        <f t="shared" si="19"/>
        <v>541</v>
      </c>
      <c r="AC244" s="168">
        <v>541</v>
      </c>
    </row>
    <row r="245" spans="1:29">
      <c r="A245" s="8" t="s">
        <v>413</v>
      </c>
      <c r="B245" s="9"/>
      <c r="C245" s="10" t="s">
        <v>134</v>
      </c>
      <c r="D245" s="7" t="s">
        <v>16</v>
      </c>
      <c r="E245" s="11" t="s">
        <v>17</v>
      </c>
      <c r="F245" s="38"/>
      <c r="G245" s="13" t="s">
        <v>19</v>
      </c>
      <c r="H245" s="14">
        <v>42440</v>
      </c>
      <c r="I245" s="14">
        <v>46092</v>
      </c>
      <c r="J245" s="15">
        <v>26</v>
      </c>
      <c r="K245" s="16">
        <v>10</v>
      </c>
      <c r="L245" s="18" t="s">
        <v>392</v>
      </c>
      <c r="M245" s="18" t="s">
        <v>411</v>
      </c>
      <c r="N245" s="18" t="s">
        <v>35</v>
      </c>
      <c r="O245" s="163">
        <v>541</v>
      </c>
      <c r="P245" s="19"/>
      <c r="Q245" s="110">
        <v>350</v>
      </c>
      <c r="R245" s="151">
        <v>350</v>
      </c>
      <c r="S245" s="151">
        <f t="shared" si="24"/>
        <v>361.19999999999993</v>
      </c>
      <c r="T245" s="151">
        <f t="shared" si="25"/>
        <v>370.2299999999999</v>
      </c>
      <c r="U245" s="151">
        <f t="shared" si="26"/>
        <v>378.00482999999986</v>
      </c>
      <c r="V245" s="151">
        <f t="shared" si="27"/>
        <v>388.58896523999988</v>
      </c>
      <c r="W245" s="151">
        <f t="shared" si="21"/>
        <v>401.02381212767989</v>
      </c>
      <c r="X245" s="151">
        <f t="shared" si="22"/>
        <v>416.26271698853174</v>
      </c>
      <c r="Y245" s="151">
        <f t="shared" si="23"/>
        <v>479.11838725380005</v>
      </c>
      <c r="Z245" s="151">
        <f t="shared" si="20"/>
        <v>530.38405468995666</v>
      </c>
      <c r="AA245" s="151">
        <f t="shared" si="18"/>
        <v>540.99173578375576</v>
      </c>
      <c r="AB245" s="151">
        <f t="shared" si="19"/>
        <v>541</v>
      </c>
      <c r="AC245" s="168">
        <v>541</v>
      </c>
    </row>
    <row r="246" spans="1:29">
      <c r="A246" s="8" t="s">
        <v>414</v>
      </c>
      <c r="B246" s="9"/>
      <c r="C246" s="10" t="s">
        <v>134</v>
      </c>
      <c r="D246" s="7" t="s">
        <v>16</v>
      </c>
      <c r="E246" s="11" t="s">
        <v>17</v>
      </c>
      <c r="F246" s="38"/>
      <c r="G246" s="13" t="s">
        <v>19</v>
      </c>
      <c r="H246" s="14">
        <v>42440</v>
      </c>
      <c r="I246" s="14">
        <v>46092</v>
      </c>
      <c r="J246" s="15">
        <v>26</v>
      </c>
      <c r="K246" s="16">
        <v>10</v>
      </c>
      <c r="L246" s="18" t="s">
        <v>392</v>
      </c>
      <c r="M246" s="18" t="s">
        <v>411</v>
      </c>
      <c r="N246" s="18" t="s">
        <v>35</v>
      </c>
      <c r="O246" s="163">
        <v>541</v>
      </c>
      <c r="P246" s="19"/>
      <c r="Q246" s="110">
        <v>350</v>
      </c>
      <c r="R246" s="151">
        <v>350</v>
      </c>
      <c r="S246" s="151">
        <f t="shared" si="24"/>
        <v>361.19999999999993</v>
      </c>
      <c r="T246" s="151">
        <f t="shared" si="25"/>
        <v>370.2299999999999</v>
      </c>
      <c r="U246" s="151">
        <f t="shared" si="26"/>
        <v>378.00482999999986</v>
      </c>
      <c r="V246" s="151">
        <f t="shared" si="27"/>
        <v>388.58896523999988</v>
      </c>
      <c r="W246" s="151">
        <f t="shared" si="21"/>
        <v>401.02381212767989</v>
      </c>
      <c r="X246" s="151">
        <f t="shared" si="22"/>
        <v>416.26271698853174</v>
      </c>
      <c r="Y246" s="151">
        <f t="shared" si="23"/>
        <v>479.11838725380005</v>
      </c>
      <c r="Z246" s="151">
        <f t="shared" si="20"/>
        <v>530.38405468995666</v>
      </c>
      <c r="AA246" s="151">
        <f t="shared" si="18"/>
        <v>540.99173578375576</v>
      </c>
      <c r="AB246" s="151">
        <f t="shared" si="19"/>
        <v>541</v>
      </c>
      <c r="AC246" s="168">
        <v>541</v>
      </c>
    </row>
    <row r="247" spans="1:29">
      <c r="A247" s="8" t="s">
        <v>415</v>
      </c>
      <c r="B247" s="9"/>
      <c r="C247" s="10" t="s">
        <v>134</v>
      </c>
      <c r="D247" s="7" t="s">
        <v>16</v>
      </c>
      <c r="E247" s="11" t="s">
        <v>17</v>
      </c>
      <c r="F247" s="38"/>
      <c r="G247" s="13" t="s">
        <v>19</v>
      </c>
      <c r="H247" s="14">
        <v>42440</v>
      </c>
      <c r="I247" s="14">
        <v>46092</v>
      </c>
      <c r="J247" s="15">
        <v>26</v>
      </c>
      <c r="K247" s="16">
        <v>10</v>
      </c>
      <c r="L247" s="18" t="s">
        <v>392</v>
      </c>
      <c r="M247" s="18" t="s">
        <v>411</v>
      </c>
      <c r="N247" s="18" t="s">
        <v>35</v>
      </c>
      <c r="O247" s="163">
        <v>541</v>
      </c>
      <c r="P247" s="19"/>
      <c r="Q247" s="110">
        <v>350</v>
      </c>
      <c r="R247" s="151">
        <v>350</v>
      </c>
      <c r="S247" s="151">
        <f t="shared" si="24"/>
        <v>361.19999999999993</v>
      </c>
      <c r="T247" s="151">
        <f t="shared" si="25"/>
        <v>370.2299999999999</v>
      </c>
      <c r="U247" s="151">
        <f t="shared" si="26"/>
        <v>378.00482999999986</v>
      </c>
      <c r="V247" s="151">
        <f t="shared" si="27"/>
        <v>388.58896523999988</v>
      </c>
      <c r="W247" s="151">
        <f t="shared" si="21"/>
        <v>401.02381212767989</v>
      </c>
      <c r="X247" s="151">
        <f t="shared" si="22"/>
        <v>416.26271698853174</v>
      </c>
      <c r="Y247" s="151">
        <f t="shared" si="23"/>
        <v>479.11838725380005</v>
      </c>
      <c r="Z247" s="151">
        <f t="shared" si="20"/>
        <v>530.38405468995666</v>
      </c>
      <c r="AA247" s="151">
        <f t="shared" si="18"/>
        <v>540.99173578375576</v>
      </c>
      <c r="AB247" s="151">
        <f t="shared" si="19"/>
        <v>541</v>
      </c>
      <c r="AC247" s="168">
        <v>541</v>
      </c>
    </row>
    <row r="248" spans="1:29">
      <c r="A248" s="8" t="s">
        <v>416</v>
      </c>
      <c r="B248" s="9"/>
      <c r="C248" s="10" t="s">
        <v>134</v>
      </c>
      <c r="D248" s="7" t="s">
        <v>16</v>
      </c>
      <c r="E248" s="11" t="s">
        <v>17</v>
      </c>
      <c r="F248" s="38"/>
      <c r="G248" s="13" t="s">
        <v>19</v>
      </c>
      <c r="H248" s="14">
        <v>42440</v>
      </c>
      <c r="I248" s="14">
        <v>46092</v>
      </c>
      <c r="J248" s="15">
        <v>26</v>
      </c>
      <c r="K248" s="16">
        <v>10</v>
      </c>
      <c r="L248" s="18" t="s">
        <v>392</v>
      </c>
      <c r="M248" s="18" t="s">
        <v>411</v>
      </c>
      <c r="N248" s="18" t="s">
        <v>35</v>
      </c>
      <c r="O248" s="163">
        <v>541</v>
      </c>
      <c r="P248" s="19"/>
      <c r="Q248" s="110">
        <v>350</v>
      </c>
      <c r="R248" s="151">
        <v>350</v>
      </c>
      <c r="S248" s="151">
        <f t="shared" si="24"/>
        <v>361.19999999999993</v>
      </c>
      <c r="T248" s="151">
        <f t="shared" si="25"/>
        <v>370.2299999999999</v>
      </c>
      <c r="U248" s="151">
        <f t="shared" si="26"/>
        <v>378.00482999999986</v>
      </c>
      <c r="V248" s="151">
        <f t="shared" si="27"/>
        <v>388.58896523999988</v>
      </c>
      <c r="W248" s="151">
        <f t="shared" si="21"/>
        <v>401.02381212767989</v>
      </c>
      <c r="X248" s="151">
        <f t="shared" si="22"/>
        <v>416.26271698853174</v>
      </c>
      <c r="Y248" s="151">
        <f t="shared" si="23"/>
        <v>479.11838725380005</v>
      </c>
      <c r="Z248" s="151">
        <f t="shared" si="20"/>
        <v>530.38405468995666</v>
      </c>
      <c r="AA248" s="151">
        <f t="shared" si="18"/>
        <v>540.99173578375576</v>
      </c>
      <c r="AB248" s="151">
        <f t="shared" si="19"/>
        <v>541</v>
      </c>
      <c r="AC248" s="168">
        <v>541</v>
      </c>
    </row>
    <row r="249" spans="1:29">
      <c r="A249" s="8" t="s">
        <v>417</v>
      </c>
      <c r="B249" s="9"/>
      <c r="C249" s="10" t="s">
        <v>134</v>
      </c>
      <c r="D249" s="7" t="s">
        <v>16</v>
      </c>
      <c r="E249" s="11" t="s">
        <v>17</v>
      </c>
      <c r="F249" s="38"/>
      <c r="G249" s="13" t="s">
        <v>19</v>
      </c>
      <c r="H249" s="14">
        <v>42440</v>
      </c>
      <c r="I249" s="14">
        <v>46092</v>
      </c>
      <c r="J249" s="15">
        <v>26</v>
      </c>
      <c r="K249" s="16">
        <v>10</v>
      </c>
      <c r="L249" s="18" t="s">
        <v>392</v>
      </c>
      <c r="M249" s="18" t="s">
        <v>411</v>
      </c>
      <c r="N249" s="18" t="s">
        <v>35</v>
      </c>
      <c r="O249" s="163">
        <v>541</v>
      </c>
      <c r="P249" s="19"/>
      <c r="Q249" s="110">
        <v>350</v>
      </c>
      <c r="R249" s="151">
        <v>350</v>
      </c>
      <c r="S249" s="151">
        <f t="shared" si="24"/>
        <v>361.19999999999993</v>
      </c>
      <c r="T249" s="151">
        <f t="shared" si="25"/>
        <v>370.2299999999999</v>
      </c>
      <c r="U249" s="151">
        <f t="shared" si="26"/>
        <v>378.00482999999986</v>
      </c>
      <c r="V249" s="151">
        <f t="shared" si="27"/>
        <v>388.58896523999988</v>
      </c>
      <c r="W249" s="151">
        <f t="shared" si="21"/>
        <v>401.02381212767989</v>
      </c>
      <c r="X249" s="151">
        <f t="shared" si="22"/>
        <v>416.26271698853174</v>
      </c>
      <c r="Y249" s="151">
        <f t="shared" si="23"/>
        <v>479.11838725380005</v>
      </c>
      <c r="Z249" s="151">
        <f t="shared" si="20"/>
        <v>530.38405468995666</v>
      </c>
      <c r="AA249" s="151">
        <f t="shared" si="18"/>
        <v>540.99173578375576</v>
      </c>
      <c r="AB249" s="151">
        <f t="shared" si="19"/>
        <v>541</v>
      </c>
      <c r="AC249" s="168">
        <v>541</v>
      </c>
    </row>
    <row r="250" spans="1:29">
      <c r="A250" s="8" t="s">
        <v>418</v>
      </c>
      <c r="B250" s="9"/>
      <c r="C250" s="10" t="s">
        <v>134</v>
      </c>
      <c r="D250" s="7" t="s">
        <v>16</v>
      </c>
      <c r="E250" s="11" t="s">
        <v>17</v>
      </c>
      <c r="F250" s="38"/>
      <c r="G250" s="13" t="s">
        <v>19</v>
      </c>
      <c r="H250" s="14">
        <v>42440</v>
      </c>
      <c r="I250" s="14">
        <v>46092</v>
      </c>
      <c r="J250" s="15">
        <v>26</v>
      </c>
      <c r="K250" s="16">
        <v>10</v>
      </c>
      <c r="L250" s="18" t="s">
        <v>392</v>
      </c>
      <c r="M250" s="18" t="s">
        <v>411</v>
      </c>
      <c r="N250" s="18" t="s">
        <v>35</v>
      </c>
      <c r="O250" s="163">
        <v>541</v>
      </c>
      <c r="P250" s="19"/>
      <c r="Q250" s="110">
        <v>350</v>
      </c>
      <c r="R250" s="151">
        <v>350</v>
      </c>
      <c r="S250" s="151">
        <f>+R250*(1+$Q$3+$R$3)</f>
        <v>361.19999999999993</v>
      </c>
      <c r="T250" s="151">
        <f t="shared" si="25"/>
        <v>370.2299999999999</v>
      </c>
      <c r="U250" s="151">
        <f t="shared" si="26"/>
        <v>378.00482999999986</v>
      </c>
      <c r="V250" s="151">
        <f t="shared" si="27"/>
        <v>388.58896523999988</v>
      </c>
      <c r="W250" s="151">
        <f t="shared" si="21"/>
        <v>401.02381212767989</v>
      </c>
      <c r="X250" s="151">
        <f t="shared" si="22"/>
        <v>416.26271698853174</v>
      </c>
      <c r="Y250" s="151">
        <f t="shared" si="23"/>
        <v>479.11838725380005</v>
      </c>
      <c r="Z250" s="151">
        <f t="shared" si="20"/>
        <v>530.38405468995666</v>
      </c>
      <c r="AA250" s="151">
        <f t="shared" si="18"/>
        <v>540.99173578375576</v>
      </c>
      <c r="AB250" s="151">
        <f t="shared" si="19"/>
        <v>541</v>
      </c>
      <c r="AC250" s="168">
        <v>541</v>
      </c>
    </row>
    <row r="251" spans="1:29">
      <c r="A251" s="68">
        <v>3652</v>
      </c>
      <c r="B251" s="128"/>
      <c r="C251" s="9" t="s">
        <v>23</v>
      </c>
      <c r="D251" s="7" t="s">
        <v>16</v>
      </c>
      <c r="E251" s="11" t="s">
        <v>17</v>
      </c>
      <c r="F251" s="20"/>
      <c r="G251" s="13" t="s">
        <v>19</v>
      </c>
      <c r="H251" s="14">
        <v>45341</v>
      </c>
      <c r="I251" s="14">
        <v>46072</v>
      </c>
      <c r="J251" s="15">
        <v>26</v>
      </c>
      <c r="K251" s="16">
        <v>2</v>
      </c>
      <c r="L251" s="18" t="s">
        <v>26</v>
      </c>
      <c r="M251" s="18" t="s">
        <v>25</v>
      </c>
      <c r="N251" s="18" t="s">
        <v>26</v>
      </c>
      <c r="O251" s="163">
        <v>1755</v>
      </c>
      <c r="P251" s="19"/>
      <c r="Q251" s="110"/>
      <c r="R251" s="110"/>
      <c r="S251" s="110"/>
      <c r="T251" s="110"/>
      <c r="U251" s="110"/>
      <c r="V251" s="110"/>
      <c r="W251" s="110"/>
      <c r="X251" s="110"/>
      <c r="Y251" s="110">
        <v>1554</v>
      </c>
      <c r="Z251" s="151">
        <f t="shared" si="20"/>
        <v>1720.278</v>
      </c>
      <c r="AA251" s="151">
        <f t="shared" si="18"/>
        <v>1754.6835599999999</v>
      </c>
      <c r="AB251" s="151">
        <f t="shared" si="19"/>
        <v>1755</v>
      </c>
      <c r="AC251" s="168">
        <v>1755</v>
      </c>
    </row>
    <row r="252" spans="1:29">
      <c r="A252" s="68">
        <v>5086</v>
      </c>
      <c r="B252" s="9"/>
      <c r="C252" s="10" t="s">
        <v>122</v>
      </c>
      <c r="D252" s="7" t="s">
        <v>16</v>
      </c>
      <c r="E252" s="11" t="s">
        <v>17</v>
      </c>
      <c r="F252" s="20"/>
      <c r="G252" s="13" t="s">
        <v>19</v>
      </c>
      <c r="H252" s="14">
        <v>45337</v>
      </c>
      <c r="I252" s="14">
        <v>46068</v>
      </c>
      <c r="J252" s="15">
        <v>26</v>
      </c>
      <c r="K252" s="16">
        <v>2</v>
      </c>
      <c r="L252" s="61">
        <v>0.1</v>
      </c>
      <c r="M252" s="36" t="s">
        <v>123</v>
      </c>
      <c r="N252" s="32">
        <v>0.08</v>
      </c>
      <c r="O252" s="163">
        <v>1654</v>
      </c>
      <c r="P252" s="19"/>
      <c r="Q252" s="110"/>
      <c r="R252" s="110"/>
      <c r="S252" s="110"/>
      <c r="T252" s="110"/>
      <c r="U252" s="110"/>
      <c r="V252" s="110"/>
      <c r="W252" s="110"/>
      <c r="X252" s="110"/>
      <c r="Y252" s="110">
        <v>1465</v>
      </c>
      <c r="Z252" s="151">
        <f t="shared" si="20"/>
        <v>1621.7549999999999</v>
      </c>
      <c r="AA252" s="151">
        <f t="shared" si="18"/>
        <v>1654.1900999999998</v>
      </c>
      <c r="AB252" s="151">
        <f t="shared" si="19"/>
        <v>1654</v>
      </c>
      <c r="AC252" s="168">
        <v>1654</v>
      </c>
    </row>
    <row r="253" spans="1:29">
      <c r="A253" s="8">
        <v>6920</v>
      </c>
      <c r="B253" s="9"/>
      <c r="C253" s="9" t="s">
        <v>314</v>
      </c>
      <c r="D253" s="7" t="s">
        <v>16</v>
      </c>
      <c r="E253" s="11" t="s">
        <v>17</v>
      </c>
      <c r="F253" s="20"/>
      <c r="G253" s="27" t="s">
        <v>19</v>
      </c>
      <c r="H253" s="25">
        <v>44943</v>
      </c>
      <c r="I253" s="14">
        <v>46039</v>
      </c>
      <c r="J253" s="15">
        <v>26</v>
      </c>
      <c r="K253" s="16">
        <v>3</v>
      </c>
      <c r="L253" s="64">
        <v>0.03</v>
      </c>
      <c r="M253" s="36" t="s">
        <v>176</v>
      </c>
      <c r="N253" s="64" t="s">
        <v>315</v>
      </c>
      <c r="O253" s="163">
        <v>8994</v>
      </c>
      <c r="P253" s="19"/>
      <c r="Q253" s="110"/>
      <c r="R253" s="110"/>
      <c r="S253" s="110"/>
      <c r="T253" s="110"/>
      <c r="U253" s="110"/>
      <c r="V253" s="110"/>
      <c r="W253" s="110"/>
      <c r="X253" s="110">
        <v>6920</v>
      </c>
      <c r="Y253" s="110">
        <f>+X253*(1+$W$3)</f>
        <v>7964.92</v>
      </c>
      <c r="Z253" s="151">
        <f t="shared" si="20"/>
        <v>8817.1664399999991</v>
      </c>
      <c r="AA253" s="151">
        <f t="shared" si="18"/>
        <v>8993.5097687999987</v>
      </c>
      <c r="AB253" s="151">
        <f t="shared" si="19"/>
        <v>8994</v>
      </c>
      <c r="AC253" s="168">
        <v>8994</v>
      </c>
    </row>
    <row r="254" spans="1:29">
      <c r="A254" s="8">
        <v>7146</v>
      </c>
      <c r="B254" s="9"/>
      <c r="C254" s="9" t="s">
        <v>377</v>
      </c>
      <c r="D254" s="7" t="s">
        <v>16</v>
      </c>
      <c r="E254" s="11" t="s">
        <v>17</v>
      </c>
      <c r="F254" s="20"/>
      <c r="G254" s="16" t="s">
        <v>19</v>
      </c>
      <c r="H254" s="25">
        <v>45306</v>
      </c>
      <c r="I254" s="14">
        <v>46037</v>
      </c>
      <c r="J254" s="15">
        <v>26</v>
      </c>
      <c r="K254" s="16">
        <v>2</v>
      </c>
      <c r="L254" s="17" t="s">
        <v>419</v>
      </c>
      <c r="M254" s="36" t="s">
        <v>420</v>
      </c>
      <c r="N254" s="103">
        <v>2.5000000000000001E-3</v>
      </c>
      <c r="O254" s="163">
        <v>8329</v>
      </c>
      <c r="P254" s="19"/>
      <c r="Q254" s="110"/>
      <c r="R254" s="110"/>
      <c r="S254" s="110"/>
      <c r="T254" s="110"/>
      <c r="U254" s="110"/>
      <c r="V254" s="110"/>
      <c r="W254" s="110"/>
      <c r="X254" s="110"/>
      <c r="Y254" s="110">
        <v>7376</v>
      </c>
      <c r="Z254" s="151">
        <f t="shared" si="20"/>
        <v>8165.232</v>
      </c>
      <c r="AA254" s="151">
        <f t="shared" si="18"/>
        <v>8328.5366400000003</v>
      </c>
      <c r="AB254" s="151">
        <f t="shared" si="19"/>
        <v>8329</v>
      </c>
      <c r="AC254" s="168">
        <v>8329</v>
      </c>
    </row>
    <row r="255" spans="1:29">
      <c r="A255" s="8">
        <v>7147</v>
      </c>
      <c r="B255" s="9"/>
      <c r="C255" s="9" t="s">
        <v>85</v>
      </c>
      <c r="D255" s="7" t="s">
        <v>16</v>
      </c>
      <c r="E255" s="11" t="s">
        <v>17</v>
      </c>
      <c r="F255" s="20"/>
      <c r="G255" s="16" t="s">
        <v>19</v>
      </c>
      <c r="H255" s="25">
        <v>45343</v>
      </c>
      <c r="I255" s="25">
        <v>46074</v>
      </c>
      <c r="J255" s="15">
        <v>26</v>
      </c>
      <c r="K255" s="16">
        <v>2</v>
      </c>
      <c r="L255" s="102">
        <v>5.0000000000000001E-3</v>
      </c>
      <c r="M255" s="36" t="s">
        <v>86</v>
      </c>
      <c r="N255" s="103" t="s">
        <v>421</v>
      </c>
      <c r="O255" s="163">
        <v>8283</v>
      </c>
      <c r="P255" s="19"/>
      <c r="Q255" s="110"/>
      <c r="R255" s="110"/>
      <c r="S255" s="110"/>
      <c r="T255" s="110"/>
      <c r="U255" s="110"/>
      <c r="V255" s="110"/>
      <c r="W255" s="110"/>
      <c r="X255" s="110"/>
      <c r="Y255" s="110">
        <v>7336</v>
      </c>
      <c r="Z255" s="151">
        <f t="shared" si="20"/>
        <v>8120.9520000000002</v>
      </c>
      <c r="AA255" s="151">
        <f t="shared" si="18"/>
        <v>8283.37104</v>
      </c>
      <c r="AB255" s="151">
        <f t="shared" si="19"/>
        <v>8283</v>
      </c>
      <c r="AC255" s="168">
        <v>8283</v>
      </c>
    </row>
    <row r="256" spans="1:29">
      <c r="A256" s="8">
        <v>7387</v>
      </c>
      <c r="B256" s="9"/>
      <c r="C256" s="9" t="s">
        <v>23</v>
      </c>
      <c r="D256" s="7" t="s">
        <v>16</v>
      </c>
      <c r="E256" s="11" t="s">
        <v>17</v>
      </c>
      <c r="F256" s="20"/>
      <c r="G256" s="13" t="s">
        <v>19</v>
      </c>
      <c r="H256" s="14">
        <v>45341</v>
      </c>
      <c r="I256" s="14">
        <v>46072</v>
      </c>
      <c r="J256" s="15">
        <v>26</v>
      </c>
      <c r="K256" s="16">
        <v>2</v>
      </c>
      <c r="L256" s="36" t="s">
        <v>199</v>
      </c>
      <c r="M256" s="18" t="s">
        <v>25</v>
      </c>
      <c r="N256" s="36" t="s">
        <v>200</v>
      </c>
      <c r="O256" s="163">
        <v>1755</v>
      </c>
      <c r="P256" s="19"/>
      <c r="Q256" s="110"/>
      <c r="R256" s="110"/>
      <c r="S256" s="110"/>
      <c r="T256" s="110"/>
      <c r="U256" s="110"/>
      <c r="V256" s="110"/>
      <c r="W256" s="110"/>
      <c r="X256" s="110"/>
      <c r="Y256" s="110">
        <v>1554</v>
      </c>
      <c r="Z256" s="151">
        <f t="shared" si="20"/>
        <v>1720.278</v>
      </c>
      <c r="AA256" s="151">
        <f t="shared" si="18"/>
        <v>1754.6835599999999</v>
      </c>
      <c r="AB256" s="151">
        <f t="shared" si="19"/>
        <v>1755</v>
      </c>
      <c r="AC256" s="168">
        <v>1755</v>
      </c>
    </row>
    <row r="257" spans="1:29">
      <c r="A257" s="8">
        <v>7766</v>
      </c>
      <c r="B257" s="10" t="s">
        <v>45</v>
      </c>
      <c r="C257" s="9" t="s">
        <v>145</v>
      </c>
      <c r="D257" s="7" t="s">
        <v>16</v>
      </c>
      <c r="E257" s="11" t="s">
        <v>17</v>
      </c>
      <c r="F257" s="12" t="s">
        <v>422</v>
      </c>
      <c r="G257" s="21" t="s">
        <v>19</v>
      </c>
      <c r="H257" s="106">
        <v>45334</v>
      </c>
      <c r="I257" s="108">
        <v>46065</v>
      </c>
      <c r="J257" s="105">
        <v>26</v>
      </c>
      <c r="K257" s="16">
        <v>2</v>
      </c>
      <c r="L257" s="36" t="s">
        <v>311</v>
      </c>
      <c r="M257" s="41"/>
      <c r="N257" s="61"/>
      <c r="O257" s="163">
        <v>1484</v>
      </c>
      <c r="P257" s="19"/>
      <c r="Q257" s="110"/>
      <c r="R257" s="110"/>
      <c r="S257" s="110"/>
      <c r="T257" s="110"/>
      <c r="U257" s="110"/>
      <c r="V257" s="110"/>
      <c r="W257" s="110"/>
      <c r="X257" s="110"/>
      <c r="Y257" s="110">
        <v>1314</v>
      </c>
      <c r="Z257" s="151">
        <f t="shared" si="20"/>
        <v>1454.598</v>
      </c>
      <c r="AA257" s="151">
        <f t="shared" si="18"/>
        <v>1483.6899599999999</v>
      </c>
      <c r="AB257" s="151">
        <f t="shared" si="19"/>
        <v>1484</v>
      </c>
      <c r="AC257" s="168">
        <v>1484</v>
      </c>
    </row>
    <row r="258" spans="1:29">
      <c r="A258" s="8">
        <v>7808</v>
      </c>
      <c r="B258" s="9"/>
      <c r="C258" s="9" t="s">
        <v>314</v>
      </c>
      <c r="D258" s="7" t="s">
        <v>16</v>
      </c>
      <c r="E258" s="11" t="s">
        <v>17</v>
      </c>
      <c r="F258" s="12"/>
      <c r="G258" s="13" t="s">
        <v>19</v>
      </c>
      <c r="H258" s="25">
        <v>45364</v>
      </c>
      <c r="I258" s="14">
        <v>46094</v>
      </c>
      <c r="J258" s="15">
        <v>26</v>
      </c>
      <c r="K258" s="16">
        <v>2</v>
      </c>
      <c r="L258" s="64">
        <v>0.02</v>
      </c>
      <c r="M258" s="36" t="s">
        <v>176</v>
      </c>
      <c r="N258" s="64" t="s">
        <v>315</v>
      </c>
      <c r="O258" s="163">
        <v>8367</v>
      </c>
      <c r="P258" s="19"/>
      <c r="Q258" s="110"/>
      <c r="R258" s="110"/>
      <c r="S258" s="110"/>
      <c r="T258" s="110"/>
      <c r="U258" s="110"/>
      <c r="V258" s="110"/>
      <c r="W258" s="110"/>
      <c r="X258" s="110"/>
      <c r="Y258" s="110">
        <v>7410</v>
      </c>
      <c r="Z258" s="151">
        <f t="shared" si="20"/>
        <v>8202.869999999999</v>
      </c>
      <c r="AA258" s="151">
        <f>+Z258*(1+$Y$3)</f>
        <v>8366.9273999999987</v>
      </c>
      <c r="AB258" s="151">
        <f>ROUND(AA258,0)</f>
        <v>8367</v>
      </c>
      <c r="AC258" s="168">
        <v>8367</v>
      </c>
    </row>
    <row r="259" spans="1:29">
      <c r="A259" s="8">
        <v>7979</v>
      </c>
      <c r="B259" s="9"/>
      <c r="C259" s="9" t="s">
        <v>23</v>
      </c>
      <c r="D259" s="7" t="s">
        <v>16</v>
      </c>
      <c r="E259" s="11" t="s">
        <v>17</v>
      </c>
      <c r="F259" s="12"/>
      <c r="G259" s="21" t="s">
        <v>19</v>
      </c>
      <c r="H259" s="108">
        <v>45365</v>
      </c>
      <c r="I259" s="108">
        <v>46095</v>
      </c>
      <c r="J259" s="105">
        <v>26</v>
      </c>
      <c r="K259" s="16">
        <v>2</v>
      </c>
      <c r="L259" s="36" t="s">
        <v>199</v>
      </c>
      <c r="M259" s="18" t="s">
        <v>25</v>
      </c>
      <c r="N259" s="36" t="s">
        <v>200</v>
      </c>
      <c r="O259" s="163">
        <v>1755</v>
      </c>
      <c r="P259" s="19"/>
      <c r="Q259" s="110"/>
      <c r="R259" s="110"/>
      <c r="S259" s="110"/>
      <c r="T259" s="110"/>
      <c r="U259" s="110"/>
      <c r="V259" s="110"/>
      <c r="W259" s="110"/>
      <c r="X259" s="110"/>
      <c r="Y259" s="110">
        <v>1554</v>
      </c>
      <c r="Z259" s="151">
        <f t="shared" si="20"/>
        <v>1720.278</v>
      </c>
      <c r="AA259" s="151">
        <f>+Z259*(1+$Y$3)</f>
        <v>1754.6835599999999</v>
      </c>
      <c r="AB259" s="151">
        <f>ROUND(AA259,0)</f>
        <v>1755</v>
      </c>
      <c r="AC259" s="168">
        <v>1755</v>
      </c>
    </row>
    <row r="260" spans="1:29">
      <c r="A260" s="8">
        <v>8010</v>
      </c>
      <c r="B260" s="9" t="s">
        <v>45</v>
      </c>
      <c r="C260" s="9" t="s">
        <v>34</v>
      </c>
      <c r="D260" s="99" t="s">
        <v>16</v>
      </c>
      <c r="E260" s="11" t="s">
        <v>17</v>
      </c>
      <c r="F260" s="20"/>
      <c r="G260" s="120" t="s">
        <v>19</v>
      </c>
      <c r="H260" s="25">
        <v>45348</v>
      </c>
      <c r="I260" s="25">
        <v>46079</v>
      </c>
      <c r="J260" s="15">
        <v>26</v>
      </c>
      <c r="K260" s="16">
        <v>2</v>
      </c>
      <c r="L260" s="36" t="s">
        <v>37</v>
      </c>
      <c r="M260" s="50" t="s">
        <v>322</v>
      </c>
      <c r="N260" s="32" t="s">
        <v>323</v>
      </c>
      <c r="O260" s="163">
        <v>1094</v>
      </c>
      <c r="P260" s="19"/>
      <c r="Q260" s="110"/>
      <c r="R260" s="110"/>
      <c r="S260" s="110"/>
      <c r="T260" s="110"/>
      <c r="U260" s="110"/>
      <c r="V260" s="110"/>
      <c r="W260" s="110"/>
      <c r="X260" s="110"/>
      <c r="Y260" s="110">
        <v>969</v>
      </c>
      <c r="Z260" s="151">
        <f t="shared" si="20"/>
        <v>1072.683</v>
      </c>
      <c r="AA260" s="151">
        <f>+Z260*(1+$Y$3)</f>
        <v>1094.1366600000001</v>
      </c>
      <c r="AB260" s="151">
        <f>ROUND(AA260,0)</f>
        <v>1094</v>
      </c>
      <c r="AC260" s="168">
        <v>1094</v>
      </c>
    </row>
    <row r="261" spans="1:29">
      <c r="A261" s="8">
        <v>8011</v>
      </c>
      <c r="B261" s="9" t="s">
        <v>45</v>
      </c>
      <c r="C261" s="9" t="s">
        <v>34</v>
      </c>
      <c r="D261" s="99" t="s">
        <v>16</v>
      </c>
      <c r="E261" s="11" t="s">
        <v>17</v>
      </c>
      <c r="F261" s="20"/>
      <c r="G261" s="120" t="s">
        <v>19</v>
      </c>
      <c r="H261" s="25">
        <v>45348</v>
      </c>
      <c r="I261" s="25">
        <v>46079</v>
      </c>
      <c r="J261" s="15">
        <v>26</v>
      </c>
      <c r="K261" s="16">
        <v>2</v>
      </c>
      <c r="L261" s="36" t="s">
        <v>37</v>
      </c>
      <c r="M261" s="50" t="s">
        <v>322</v>
      </c>
      <c r="N261" s="32" t="s">
        <v>323</v>
      </c>
      <c r="O261" s="163">
        <v>1094</v>
      </c>
      <c r="P261" s="19"/>
      <c r="Q261" s="110"/>
      <c r="R261" s="110"/>
      <c r="S261" s="110"/>
      <c r="T261" s="110"/>
      <c r="U261" s="110"/>
      <c r="V261" s="110"/>
      <c r="W261" s="110"/>
      <c r="X261" s="110"/>
      <c r="Y261" s="110">
        <v>969</v>
      </c>
      <c r="Z261" s="151">
        <f t="shared" si="20"/>
        <v>1072.683</v>
      </c>
      <c r="AA261" s="151">
        <f>+Z261*(1+$Y$3)</f>
        <v>1094.1366600000001</v>
      </c>
      <c r="AB261" s="151">
        <f>ROUND(AA261,0)</f>
        <v>1094</v>
      </c>
      <c r="AC261" s="168">
        <v>1094</v>
      </c>
    </row>
    <row r="262" spans="1:29">
      <c r="A262" s="8">
        <v>8146</v>
      </c>
      <c r="B262" s="9"/>
      <c r="C262" s="99" t="s">
        <v>23</v>
      </c>
      <c r="D262" s="99" t="s">
        <v>16</v>
      </c>
      <c r="E262" s="81" t="s">
        <v>17</v>
      </c>
      <c r="F262" s="20"/>
      <c r="G262" s="120" t="s">
        <v>298</v>
      </c>
      <c r="H262" s="25">
        <v>45299</v>
      </c>
      <c r="I262" s="25">
        <v>46030</v>
      </c>
      <c r="J262" s="15">
        <v>26</v>
      </c>
      <c r="K262" s="13">
        <v>2</v>
      </c>
      <c r="L262" s="36" t="s">
        <v>199</v>
      </c>
      <c r="M262" s="18" t="s">
        <v>25</v>
      </c>
      <c r="N262" s="36" t="s">
        <v>200</v>
      </c>
      <c r="O262" s="163">
        <v>1755</v>
      </c>
      <c r="P262" s="19"/>
      <c r="Q262" s="110"/>
      <c r="R262" s="110"/>
      <c r="S262" s="110"/>
      <c r="T262" s="110"/>
      <c r="U262" s="110"/>
      <c r="V262" s="110"/>
      <c r="W262" s="110"/>
      <c r="X262" s="110"/>
      <c r="Y262" s="110">
        <v>1554</v>
      </c>
      <c r="Z262" s="151">
        <f t="shared" si="20"/>
        <v>1720.278</v>
      </c>
      <c r="AA262" s="151">
        <f>+Z262*(1+$Y$3)</f>
        <v>1754.6835599999999</v>
      </c>
      <c r="AB262" s="151">
        <f>ROUND(AA262,0)</f>
        <v>1755</v>
      </c>
      <c r="AC262" s="168">
        <v>1755</v>
      </c>
    </row>
  </sheetData>
  <autoFilter ref="A1:AC262"/>
  <mergeCells count="1">
    <mergeCell ref="D2:O2"/>
  </mergeCells>
  <phoneticPr fontId="39" type="noConversion"/>
  <conditionalFormatting sqref="A5:A222">
    <cfRule type="duplicateValues" dxfId="20" priority="126"/>
  </conditionalFormatting>
  <conditionalFormatting sqref="A223">
    <cfRule type="duplicateValues" dxfId="19" priority="69"/>
  </conditionalFormatting>
  <conditionalFormatting sqref="A224">
    <cfRule type="duplicateValues" dxfId="18" priority="64"/>
  </conditionalFormatting>
  <conditionalFormatting sqref="A225:A227">
    <cfRule type="duplicateValues" dxfId="17" priority="59"/>
  </conditionalFormatting>
  <conditionalFormatting sqref="A228:A233">
    <cfRule type="duplicateValues" dxfId="16" priority="49"/>
  </conditionalFormatting>
  <conditionalFormatting sqref="A234:A235">
    <cfRule type="duplicateValues" dxfId="15" priority="36"/>
  </conditionalFormatting>
  <conditionalFormatting sqref="A236:A242">
    <cfRule type="duplicateValues" dxfId="14" priority="5"/>
  </conditionalFormatting>
  <conditionalFormatting sqref="A251:A259">
    <cfRule type="duplicateValues" dxfId="13" priority="11"/>
  </conditionalFormatting>
  <conditionalFormatting sqref="A262">
    <cfRule type="duplicateValues" dxfId="12" priority="10"/>
  </conditionalFormatting>
  <conditionalFormatting sqref="E5:E224">
    <cfRule type="containsText" dxfId="11" priority="52" stopIfTrue="1" operator="containsText" text="čeká na vyřazení">
      <formula>NOT(ISERROR(SEARCH("čeká na vyřazení",E5)))</formula>
    </cfRule>
  </conditionalFormatting>
  <conditionalFormatting sqref="E5:E226">
    <cfRule type="containsText" dxfId="10" priority="53" stopIfTrue="1" operator="containsText" text="vyřazeno">
      <formula>NOT(ISERROR(SEARCH("vyřazeno",E5)))</formula>
    </cfRule>
    <cfRule type="containsText" dxfId="9" priority="54" stopIfTrue="1" operator="containsText" text="na kalibraci">
      <formula>NOT(ISERROR(SEARCH("na kalibraci",E5)))</formula>
    </cfRule>
    <cfRule type="containsText" dxfId="8" priority="55" stopIfTrue="1" operator="containsText" text="v opravě">
      <formula>NOT(ISERROR(SEARCH("v opravě",E5)))</formula>
    </cfRule>
  </conditionalFormatting>
  <conditionalFormatting sqref="E227:E250">
    <cfRule type="containsText" dxfId="7" priority="1" stopIfTrue="1" operator="containsText" text="čeká na vyřazení">
      <formula>NOT(ISERROR(SEARCH("čeká na vyřazení",E227)))</formula>
    </cfRule>
    <cfRule type="containsText" dxfId="6" priority="2" stopIfTrue="1" operator="containsText" text="vyřazeno">
      <formula>NOT(ISERROR(SEARCH("vyřazeno",E227)))</formula>
    </cfRule>
  </conditionalFormatting>
  <conditionalFormatting sqref="E228:E250">
    <cfRule type="containsText" dxfId="5" priority="3" stopIfTrue="1" operator="containsText" text="na kalibraci">
      <formula>NOT(ISERROR(SEARCH("na kalibraci",E228)))</formula>
    </cfRule>
    <cfRule type="containsText" dxfId="4" priority="4" stopIfTrue="1" operator="containsText" text="v opravě">
      <formula>NOT(ISERROR(SEARCH("v opravě",E228)))</formula>
    </cfRule>
  </conditionalFormatting>
  <conditionalFormatting sqref="E243:E262">
    <cfRule type="containsText" dxfId="3" priority="6" stopIfTrue="1" operator="containsText" text="čeká na vyřazení">
      <formula>NOT(ISERROR(SEARCH("čeká na vyřazení",E243)))</formula>
    </cfRule>
    <cfRule type="containsText" dxfId="2" priority="7" stopIfTrue="1" operator="containsText" text="vyřazeno">
      <formula>NOT(ISERROR(SEARCH("vyřazeno",E243)))</formula>
    </cfRule>
    <cfRule type="containsText" dxfId="1" priority="8" stopIfTrue="1" operator="containsText" text="na kalibraci">
      <formula>NOT(ISERROR(SEARCH("na kalibraci",E243)))</formula>
    </cfRule>
    <cfRule type="containsText" dxfId="0" priority="9" stopIfTrue="1" operator="containsText" text="v opravě">
      <formula>NOT(ISERROR(SEARCH("v opravě",E243)))</formula>
    </cfRule>
  </conditionalFormatting>
  <dataValidations count="1">
    <dataValidation type="list" allowBlank="1" showErrorMessage="1" sqref="E5:E262">
      <formula1>$AS$5:$AS$9</formula1>
    </dataValidation>
  </dataValidations>
  <hyperlinks>
    <hyperlink ref="D5" r:id="rId1"/>
    <hyperlink ref="D6" r:id="rId2"/>
    <hyperlink ref="D7" r:id="rId3"/>
    <hyperlink ref="D8" r:id="rId4"/>
    <hyperlink ref="D9" r:id="rId5"/>
    <hyperlink ref="D12" r:id="rId6"/>
    <hyperlink ref="D13" r:id="rId7"/>
    <hyperlink ref="D17" r:id="rId8"/>
    <hyperlink ref="D19" r:id="rId9"/>
    <hyperlink ref="D23" r:id="rId10"/>
    <hyperlink ref="D26" r:id="rId11"/>
    <hyperlink ref="D27" r:id="rId12"/>
    <hyperlink ref="D28" r:id="rId13"/>
    <hyperlink ref="D29" r:id="rId14"/>
    <hyperlink ref="D30" r:id="rId15"/>
    <hyperlink ref="D31" r:id="rId16"/>
    <hyperlink ref="D32" r:id="rId17"/>
    <hyperlink ref="D33" r:id="rId18"/>
    <hyperlink ref="D34" r:id="rId19"/>
    <hyperlink ref="D35" r:id="rId20"/>
    <hyperlink ref="D36" r:id="rId21"/>
    <hyperlink ref="D37" r:id="rId22"/>
    <hyperlink ref="D38" r:id="rId23"/>
    <hyperlink ref="D40" r:id="rId24"/>
    <hyperlink ref="D41" r:id="rId25"/>
    <hyperlink ref="D42" r:id="rId26"/>
    <hyperlink ref="D43" r:id="rId27"/>
    <hyperlink ref="D44" r:id="rId28"/>
    <hyperlink ref="D46" r:id="rId29"/>
    <hyperlink ref="D47" r:id="rId30"/>
    <hyperlink ref="D51" r:id="rId31"/>
    <hyperlink ref="D52" r:id="rId32"/>
    <hyperlink ref="D53" r:id="rId33"/>
    <hyperlink ref="D61" r:id="rId34"/>
    <hyperlink ref="D62" r:id="rId35"/>
    <hyperlink ref="D63" r:id="rId36"/>
    <hyperlink ref="D64" r:id="rId37"/>
    <hyperlink ref="D67" r:id="rId38"/>
    <hyperlink ref="D68" r:id="rId39"/>
    <hyperlink ref="D69" r:id="rId40"/>
    <hyperlink ref="D70" r:id="rId41"/>
    <hyperlink ref="D71" r:id="rId42"/>
    <hyperlink ref="D73" r:id="rId43"/>
    <hyperlink ref="D74" r:id="rId44"/>
    <hyperlink ref="D76" r:id="rId45"/>
    <hyperlink ref="D78" r:id="rId46"/>
    <hyperlink ref="D79" r:id="rId47"/>
    <hyperlink ref="D80" r:id="rId48"/>
    <hyperlink ref="D85" r:id="rId49"/>
    <hyperlink ref="D88" r:id="rId50"/>
    <hyperlink ref="D90" r:id="rId51"/>
    <hyperlink ref="D93" r:id="rId52"/>
    <hyperlink ref="D99" r:id="rId53"/>
    <hyperlink ref="D112:D117" r:id="rId54" display="ČMI"/>
    <hyperlink ref="D123:D128" r:id="rId55" display="ČMI"/>
    <hyperlink ref="D130:D132" r:id="rId56" display="ČMI"/>
    <hyperlink ref="D118:D122" r:id="rId57" display="ČMI"/>
    <hyperlink ref="D124:D129" r:id="rId58" display="ČMI"/>
    <hyperlink ref="D131:D132" r:id="rId59" display="ČMI"/>
    <hyperlink ref="D133" r:id="rId60"/>
    <hyperlink ref="D141" r:id="rId61"/>
    <hyperlink ref="D142" r:id="rId62"/>
    <hyperlink ref="D143" r:id="rId63"/>
    <hyperlink ref="D145" r:id="rId64"/>
    <hyperlink ref="D146" r:id="rId65"/>
    <hyperlink ref="D147" r:id="rId66"/>
    <hyperlink ref="D148" r:id="rId67"/>
    <hyperlink ref="D149" r:id="rId68"/>
    <hyperlink ref="D152" r:id="rId69"/>
    <hyperlink ref="D153" r:id="rId70"/>
    <hyperlink ref="D154" r:id="rId71" display="EXTEC"/>
    <hyperlink ref="D159" r:id="rId72"/>
    <hyperlink ref="D160" r:id="rId73"/>
    <hyperlink ref="D163" r:id="rId74"/>
    <hyperlink ref="D167" r:id="rId75"/>
    <hyperlink ref="D168:D169" r:id="rId76" display="ČMI"/>
    <hyperlink ref="D169" r:id="rId77"/>
    <hyperlink ref="D170" r:id="rId78"/>
    <hyperlink ref="D171" r:id="rId79"/>
    <hyperlink ref="D172" r:id="rId80"/>
    <hyperlink ref="D173" r:id="rId81"/>
    <hyperlink ref="D175" r:id="rId82"/>
    <hyperlink ref="D176" r:id="rId83"/>
    <hyperlink ref="D178" r:id="rId84"/>
    <hyperlink ref="D179" r:id="rId85"/>
    <hyperlink ref="D187" r:id="rId86"/>
    <hyperlink ref="D188" r:id="rId87"/>
    <hyperlink ref="D191" r:id="rId88"/>
    <hyperlink ref="D192:D193" r:id="rId89" display="ČMI"/>
    <hyperlink ref="D194" r:id="rId90"/>
    <hyperlink ref="D195:D196" r:id="rId91" display="ČMI"/>
    <hyperlink ref="D197" r:id="rId92"/>
    <hyperlink ref="D198" r:id="rId93"/>
    <hyperlink ref="D199" r:id="rId94"/>
    <hyperlink ref="D200" r:id="rId95"/>
    <hyperlink ref="D201" r:id="rId96"/>
    <hyperlink ref="D202" r:id="rId97"/>
    <hyperlink ref="D203" r:id="rId98"/>
    <hyperlink ref="D204" r:id="rId99"/>
    <hyperlink ref="D205" r:id="rId100"/>
    <hyperlink ref="D206" r:id="rId101"/>
    <hyperlink ref="D207" r:id="rId102"/>
    <hyperlink ref="D208:D209" r:id="rId103" display="ČMI"/>
    <hyperlink ref="D208:D211" r:id="rId104" display="ČMI"/>
    <hyperlink ref="D212" r:id="rId105"/>
    <hyperlink ref="D213" r:id="rId106"/>
    <hyperlink ref="D214" r:id="rId107"/>
    <hyperlink ref="D215" r:id="rId108"/>
    <hyperlink ref="D216:D217" r:id="rId109" display="ČMI"/>
    <hyperlink ref="D218" r:id="rId110"/>
    <hyperlink ref="D219" r:id="rId111"/>
    <hyperlink ref="D220" r:id="rId112"/>
    <hyperlink ref="D221" r:id="rId113"/>
    <hyperlink ref="D222" r:id="rId114"/>
    <hyperlink ref="D223" r:id="rId115"/>
    <hyperlink ref="D224" r:id="rId116"/>
    <hyperlink ref="D225" r:id="rId117"/>
    <hyperlink ref="D226" r:id="rId118"/>
    <hyperlink ref="D227" r:id="rId119"/>
    <hyperlink ref="D228" r:id="rId120"/>
    <hyperlink ref="D229" r:id="rId121"/>
    <hyperlink ref="D230" r:id="rId122"/>
    <hyperlink ref="D231" r:id="rId123"/>
    <hyperlink ref="D232" r:id="rId124"/>
    <hyperlink ref="D233" r:id="rId125"/>
    <hyperlink ref="D234" r:id="rId126"/>
    <hyperlink ref="D235" r:id="rId127"/>
    <hyperlink ref="D251" r:id="rId128"/>
    <hyperlink ref="D252" r:id="rId129"/>
    <hyperlink ref="D253" r:id="rId130"/>
    <hyperlink ref="D257" r:id="rId131"/>
    <hyperlink ref="D258" r:id="rId132"/>
    <hyperlink ref="D259" r:id="rId133"/>
    <hyperlink ref="D260:D261" r:id="rId134" display="ČMI"/>
    <hyperlink ref="D262" r:id="rId135"/>
    <hyperlink ref="D238" r:id="rId136"/>
    <hyperlink ref="D239:D240" r:id="rId137" display="ČMI"/>
    <hyperlink ref="D241:D242" r:id="rId138" display="ČMI"/>
  </hyperlinks>
  <pageMargins left="0.7" right="0.7" top="0.78740157499999996" bottom="0.78740157499999996" header="0.3" footer="0.3"/>
  <pageSetup paperSize="9" orientation="portrait" r:id="rId139"/>
  <headerFooter>
    <oddHeader>&amp;C&amp;"MS UI Gothic"&amp;10&amp;K000000•• PROTECTED 関係者外秘&amp;1#</oddHeader>
  </headerFooter>
  <legacyDrawing r:id="rId14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>Toyota Motor Europe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Bucankova (TMMCZ)</dc:creator>
  <cp:lastModifiedBy>pnovacek</cp:lastModifiedBy>
  <dcterms:created xsi:type="dcterms:W3CDTF">2024-10-29T15:25:44Z</dcterms:created>
  <dcterms:modified xsi:type="dcterms:W3CDTF">2025-02-25T06:13:24Z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0x010100A1728E2B3BF88945B15589F9C0B48FE8</vt:lpwstr>
  </property>
  <property fmtid="{D5CDD505-2E9C-101B-9397-08002B2CF9AE}" pid="3" name="MSIP_Label_d9544d3e-f761-46b2-881e-fd08f3b12f65_Enabled">
    <vt:lpwstr>true</vt:lpwstr>
  </property>
  <property fmtid="{D5CDD505-2E9C-101B-9397-08002B2CF9AE}" pid="4" name="MSIP_Label_d9544d3e-f761-46b2-881e-fd08f3b12f65_SetDate">
    <vt:lpwstr>2024-10-29T15:45:21Z</vt:lpwstr>
  </property>
  <property fmtid="{D5CDD505-2E9C-101B-9397-08002B2CF9AE}" pid="5" name="MSIP_Label_d9544d3e-f761-46b2-881e-fd08f3b12f65_Method">
    <vt:lpwstr>Standard</vt:lpwstr>
  </property>
  <property fmtid="{D5CDD505-2E9C-101B-9397-08002B2CF9AE}" pid="6" name="MSIP_Label_d9544d3e-f761-46b2-881e-fd08f3b12f65_Name">
    <vt:lpwstr>Protected</vt:lpwstr>
  </property>
  <property fmtid="{D5CDD505-2E9C-101B-9397-08002B2CF9AE}" pid="7" name="MSIP_Label_d9544d3e-f761-46b2-881e-fd08f3b12f65_SiteId">
    <vt:lpwstr>52b742d1-3dc2-47ac-bf03-609c83d9df9f</vt:lpwstr>
  </property>
  <property fmtid="{D5CDD505-2E9C-101B-9397-08002B2CF9AE}" pid="8" name="MSIP_Label_d9544d3e-f761-46b2-881e-fd08f3b12f65_ActionId">
    <vt:lpwstr>d972e508-192b-497f-b2c6-79fa56899dae</vt:lpwstr>
  </property>
  <property fmtid="{D5CDD505-2E9C-101B-9397-08002B2CF9AE}" pid="9" name="MSIP_Label_d9544d3e-f761-46b2-881e-fd08f3b12f65_ContentBits">
    <vt:lpwstr>1</vt:lpwstr>
  </property>
  <property fmtid="{D5CDD505-2E9C-101B-9397-08002B2CF9AE}" pid="10" name="_activity">
    <vt:lpwstr/>
  </property>
</Properties>
</file>